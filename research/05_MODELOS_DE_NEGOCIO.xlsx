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eme" sheetId="1" state="visible" r:id="rId3"/>
    <sheet name="Supuestos" sheetId="2" state="visible" r:id="rId4"/>
    <sheet name="Modelo_M2" sheetId="3" state="visible" r:id="rId5"/>
    <sheet name="Modelo_M1" sheetId="4" state="visible" r:id="rId6"/>
    <sheet name="Sensibilida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<sst xmlns="http://schemas.openxmlformats.org/spreadsheetml/2006/main" count="207" uniqueCount="149">
  <si>
    <t xml:space="preserve">05 — Modelos de negocio (A5) · fecha 2026-10-19 · moneda USD</t>
  </si>
  <si>
    <t xml:space="preserve">Fórmula de ingresos visible: Ingresos por colocación = colocaciones (suscripciones) × ticket promedio × comisión total.</t>
  </si>
  <si>
    <t xml:space="preserve">Todas las celdas de 'Supuestos' son editables; 'Modelo_M2', 'Modelo_M1' y 'Sensibilidad' se recalculan con fórmulas.</t>
  </si>
  <si>
    <t xml:space="preserve">Celdas amarillas = SUPUESTO sin respaldo externo (NO es dato). Celdas celestes = DATO con fuente (ID de evidencia en 09_EVIDENCIAS.csv / frentes/A5A7_evidencia.csv).</t>
  </si>
  <si>
    <t xml:space="preserve">M2 = plataforma integral minorista (operada por/bajo entidad autorizada: PFC u operador con ALyC/fiduciario). Paga CAC de inversores.</t>
  </si>
  <si>
    <t xml:space="preserve">M1 = originador/marketplace B2B que deriva emisores a un operador autorizado; no capta inversores ni recibe fondos. La licitud de un fee de originación es HIPÓTESIS PARA ABOGADO.</t>
  </si>
  <si>
    <t xml:space="preserve">M0 (directorio informativo) y M3 (secundario) no se modelan numéricamente: M0 no tiene ingreso transaccional lícito identificado sin riesgo regulatorio; M3 no tiene volumen verificable (ver 10_DECISION.md).</t>
  </si>
  <si>
    <t xml:space="preserve">Simplificación conservadora: en M2 todos los inversores activos del año se tratan como nuevos (CAC completo). Sin impuestos (IIBB, IVA, Ganancias) ni inflación ni tipo de cambio.</t>
  </si>
  <si>
    <t xml:space="preserve">Conversión UVA→USD usada en fuentes: UVA ARS 2.159,10; USD mayorista ARS 1.514,57 (BCRA, E5043).</t>
  </si>
  <si>
    <t xml:space="preserve">clave</t>
  </si>
  <si>
    <t xml:space="preserve">parámetro</t>
  </si>
  <si>
    <t xml:space="preserve">unidad</t>
  </si>
  <si>
    <t xml:space="preserve">conservador</t>
  </si>
  <si>
    <t xml:space="preserve">base</t>
  </si>
  <si>
    <t xml:space="preserve">optimista</t>
  </si>
  <si>
    <t xml:space="preserve">clase</t>
  </si>
  <si>
    <t xml:space="preserve">fuente / ancla</t>
  </si>
  <si>
    <t xml:space="preserve">campanas</t>
  </si>
  <si>
    <t xml:space="preserve">Campañas/emisiones cerradas por año</t>
  </si>
  <si>
    <t xml:space="preserve">n/año</t>
  </si>
  <si>
    <t xml:space="preserve">SUPUESTO</t>
  </si>
  <si>
    <t xml:space="preserve">Sin ancla. Depende de originación (A1: solo 3 emisiones tokenizadas con oferta pública identificadas en AR).</t>
  </si>
  <si>
    <t xml:space="preserve">monto</t>
  </si>
  <si>
    <t xml:space="preserve">Monto medio colocado por campaña</t>
  </si>
  <si>
    <t xml:space="preserve">USD</t>
  </si>
  <si>
    <t xml:space="preserve">Tope PFC UVA 1,5M ≈ USD 2,14M por proyecto/12 meses (E5009, DATO).</t>
  </si>
  <si>
    <t xml:space="preserve">take_em</t>
  </si>
  <si>
    <t xml:space="preserve">Comisión de éxito al emisor (M2)</t>
  </si>
  <si>
    <t xml:space="preserve">% del monto</t>
  </si>
  <si>
    <t xml:space="preserve">Ancla internacional 6–7,9% (Wefunder E5001, Republic E5003).</t>
  </si>
  <si>
    <t xml:space="preserve">fee_inv</t>
  </si>
  <si>
    <t xml:space="preserve">Fee al inversor (M2)</t>
  </si>
  <si>
    <t xml:space="preserve">Ancla internacional 2–3,5% (E5002, E5005).</t>
  </si>
  <si>
    <t xml:space="preserve">ticket</t>
  </si>
  <si>
    <t xml:space="preserve">Ticket medio por suscripción</t>
  </si>
  <si>
    <t xml:space="preserve">Tope RG 1125 por inversor: UVA 3.000 por emisión (≈USD 4.300) y UVA 10.000 total (art. 148, E9005).</t>
  </si>
  <si>
    <t xml:space="preserve">recurr</t>
  </si>
  <si>
    <t xml:space="preserve">Suscripciones por inversor activo por año</t>
  </si>
  <si>
    <t xml:space="preserve">n</t>
  </si>
  <si>
    <t xml:space="preserve">Sin ancla.</t>
  </si>
  <si>
    <t xml:space="preserve">cac_inv</t>
  </si>
  <si>
    <t xml:space="preserve">CAC por inversor activo</t>
  </si>
  <si>
    <t xml:space="preserve">Derivado de CAC registro 100/40/15 ÷ conversión 5/15/30% (A5 §2.6). Sin benchmark primario.</t>
  </si>
  <si>
    <t xml:space="preserve">kyc</t>
  </si>
  <si>
    <t xml:space="preserve">Costo KYC por inversor</t>
  </si>
  <si>
    <t xml:space="preserve">DATO</t>
  </si>
  <si>
    <t xml:space="preserve">Sumsub/Veriff precios públicos (E5018, E5019).</t>
  </si>
  <si>
    <t xml:space="preserve">atencion</t>
  </si>
  <si>
    <t xml:space="preserve">Atención por inversor activo/año</t>
  </si>
  <si>
    <t xml:space="preserve">Ancla débil Nubank (E5028).</t>
  </si>
  <si>
    <t xml:space="preserve">cac_em</t>
  </si>
  <si>
    <t xml:space="preserve">CAC por emisor que cierra</t>
  </si>
  <si>
    <t xml:space="preserve">Sin fuente.</t>
  </si>
  <si>
    <t xml:space="preserve">dd</t>
  </si>
  <si>
    <t xml:space="preserve">Costo propio de due diligence por emisor</t>
  </si>
  <si>
    <t xml:space="preserve">Sin fuente pública; cotizar con estudios.</t>
  </si>
  <si>
    <t xml:space="preserve">estruct</t>
  </si>
  <si>
    <t xml:space="preserve">Costo de estructuración pagado por el emisor (legal, fiduciario, CNV, auditoría)</t>
  </si>
  <si>
    <t xml:space="preserve">Sin tarifa pública. Referencia: FF Total Assets V ≈2,18% s/VN sin impuestos (E5016), FF grande.</t>
  </si>
  <si>
    <t xml:space="preserve">arancel_cnv</t>
  </si>
  <si>
    <t xml:space="preserve">Arancel CNV autorización FF pyme</t>
  </si>
  <si>
    <t xml:space="preserve">Res. ME 1/2026 Anexo II: 0,015% FF pyme (E5012).</t>
  </si>
  <si>
    <t xml:space="preserve">prov</t>
  </si>
  <si>
    <t xml:space="preserve">Provisión por reclamos/fraude/default (costo plataforma)</t>
  </si>
  <si>
    <t xml:space="preserve">% del GMV</t>
  </si>
  <si>
    <t xml:space="preserve">Sin fuente. Riesgo reputacional ver 08.</t>
  </si>
  <si>
    <t xml:space="preserve">fijo_m2</t>
  </si>
  <si>
    <t xml:space="preserve">Costo fijo anual M2 (equipo, compliance, tecnología, tasas)</t>
  </si>
  <si>
    <t xml:space="preserve">USD/año</t>
  </si>
  <si>
    <t xml:space="preserve">Incluye tasa CNV si aplica (PSAV PJ ARS 13,36M ≈ USD 8.821, E5013).</t>
  </si>
  <si>
    <t xml:space="preserve">fee_orig</t>
  </si>
  <si>
    <t xml:space="preserve">Fee de originación cobrado al operador/emisor (M1)</t>
  </si>
  <si>
    <t xml:space="preserve">Sin ancla local. Licitud: HIPÓTESIS PARA ABOGADO (ver 11).</t>
  </si>
  <si>
    <t xml:space="preserve">fee_prep</t>
  </si>
  <si>
    <t xml:space="preserve">Fee fijo de preparación de legajo por emisor (M1)</t>
  </si>
  <si>
    <t xml:space="preserve">Sin ancla. Ref. briq.mx cobra dictamen legal MXN 17.000 (A2).</t>
  </si>
  <si>
    <t xml:space="preserve">coloc_op</t>
  </si>
  <si>
    <t xml:space="preserve">Comisión de colocación del operador autorizado (M1, la paga el emisor)</t>
  </si>
  <si>
    <t xml:space="preserve">Sin tarifa pública. Ref. colocación FF Total Assets V 0,89% (E5016) y ON Vitalcan ~1% (E8003).</t>
  </si>
  <si>
    <t xml:space="preserve">fijo_m1</t>
  </si>
  <si>
    <t xml:space="preserve">Costo fijo anual M1 (equipo chico, sin captación)</t>
  </si>
  <si>
    <t xml:space="preserve">concepto</t>
  </si>
  <si>
    <t xml:space="preserve">fórmula (texto)</t>
  </si>
  <si>
    <t xml:space="preserve">GMV (monto colocado)</t>
  </si>
  <si>
    <t xml:space="preserve">campañas × monto medio</t>
  </si>
  <si>
    <t xml:space="preserve">Colocaciones (suscripciones)</t>
  </si>
  <si>
    <t xml:space="preserve">GMV ÷ ticket</t>
  </si>
  <si>
    <t xml:space="preserve">Ticket promedio</t>
  </si>
  <si>
    <t xml:space="preserve">supuesto</t>
  </si>
  <si>
    <t xml:space="preserve">Comisión total (emisor + inversor)</t>
  </si>
  <si>
    <t xml:space="preserve">take emisor + fee inversor</t>
  </si>
  <si>
    <t xml:space="preserve">INGRESOS = colocaciones × ticket × comisión</t>
  </si>
  <si>
    <t xml:space="preserve">fórmula del mandato</t>
  </si>
  <si>
    <t xml:space="preserve">Inversores activos</t>
  </si>
  <si>
    <t xml:space="preserve">suscripciones ÷ recurrencia</t>
  </si>
  <si>
    <t xml:space="preserve">Costo adquisición inversores</t>
  </si>
  <si>
    <t xml:space="preserve">inversores × CAC (todos tratados como nuevos)</t>
  </si>
  <si>
    <t xml:space="preserve">Costo KYC</t>
  </si>
  <si>
    <t xml:space="preserve">inversores × KYC</t>
  </si>
  <si>
    <t xml:space="preserve">Costo atención</t>
  </si>
  <si>
    <t xml:space="preserve">inversores × atención</t>
  </si>
  <si>
    <t xml:space="preserve">Costo adquisición emisores</t>
  </si>
  <si>
    <t xml:space="preserve">campañas × CAC emisor</t>
  </si>
  <si>
    <t xml:space="preserve">Costo due diligence</t>
  </si>
  <si>
    <t xml:space="preserve">campañas × DD</t>
  </si>
  <si>
    <t xml:space="preserve">Provisión reclamos/fraude</t>
  </si>
  <si>
    <t xml:space="preserve">GMV × provisión</t>
  </si>
  <si>
    <t xml:space="preserve">Costo fijo anual</t>
  </si>
  <si>
    <t xml:space="preserve">COSTOS TOTALES</t>
  </si>
  <si>
    <t xml:space="preserve">suma</t>
  </si>
  <si>
    <t xml:space="preserve">RESULTADO OPERATIVO (antes de impuestos)</t>
  </si>
  <si>
    <t xml:space="preserve">ingresos − costos</t>
  </si>
  <si>
    <t xml:space="preserve">Margen operativo</t>
  </si>
  <si>
    <t xml:space="preserve">resultado ÷ ingresos</t>
  </si>
  <si>
    <t xml:space="preserve">Costo variable por USD de GMV</t>
  </si>
  <si>
    <t xml:space="preserve">(CAC+KYC+atención)/(ticket×recurrencia) + (CAC em.+DD)/monto + provisión</t>
  </si>
  <si>
    <t xml:space="preserve">Margen de contribución por USD de GMV</t>
  </si>
  <si>
    <t xml:space="preserve">comisión − costo variable</t>
  </si>
  <si>
    <t xml:space="preserve">GMV de equilibrio (si margen de contribución &gt; 0)</t>
  </si>
  <si>
    <t xml:space="preserve">fijo ÷ margen de contribución</t>
  </si>
  <si>
    <t xml:space="preserve">Campañas de equilibrio</t>
  </si>
  <si>
    <t xml:space="preserve">GMV equilibrio ÷ monto</t>
  </si>
  <si>
    <t xml:space="preserve">Costo total para el emisor (% del monto)</t>
  </si>
  <si>
    <t xml:space="preserve">take + estructuración/monto + arancel CNV</t>
  </si>
  <si>
    <t xml:space="preserve">GMV originado y colocado por el operador</t>
  </si>
  <si>
    <t xml:space="preserve">Colocaciones (emisiones originadas)</t>
  </si>
  <si>
    <t xml:space="preserve">en M1 la 'colocación' es la emisión derivada</t>
  </si>
  <si>
    <t xml:space="preserve">Ticket promedio (monto por emisión)</t>
  </si>
  <si>
    <t xml:space="preserve">Comisión de originación</t>
  </si>
  <si>
    <t xml:space="preserve">supuesto — licitud a confirmar</t>
  </si>
  <si>
    <t xml:space="preserve">Ingresos variables = colocaciones × ticket × comisión</t>
  </si>
  <si>
    <t xml:space="preserve">Ingresos por preparación de legajo</t>
  </si>
  <si>
    <t xml:space="preserve">campañas × fee fijo (supone que solo cobran las que cierran: conservador)</t>
  </si>
  <si>
    <t xml:space="preserve">INGRESOS TOTALES</t>
  </si>
  <si>
    <t xml:space="preserve">Provisión reclamos (reputacional)</t>
  </si>
  <si>
    <t xml:space="preserve">GMV × provisión ÷ 2 (no capta fondos; supuesto)</t>
  </si>
  <si>
    <t xml:space="preserve">Contribución por campaña</t>
  </si>
  <si>
    <t xml:space="preserve">monto×fee + prep − CAC − DD − provisión</t>
  </si>
  <si>
    <t xml:space="preserve">fijo ÷ contribución por campaña</t>
  </si>
  <si>
    <t xml:space="preserve">fee orig. + prep + estructuración + arancel + colocación del operador</t>
  </si>
  <si>
    <t xml:space="preserve">Sensibilidad M2 (resto de supuestos en escenario BASE). Resultado operativo anual en USD.</t>
  </si>
  <si>
    <t xml:space="preserve">Tabla 1: GMV anual (filas) × comisión total (columnas)</t>
  </si>
  <si>
    <t xml:space="preserve">GMV \ comisión</t>
  </si>
  <si>
    <t xml:space="preserve">Tabla 2: ticket medio (filas) × suscripciones por inversor/año (columnas) → resultado con GMV y comisión base</t>
  </si>
  <si>
    <t xml:space="preserve">ticket \ recurrencia</t>
  </si>
  <si>
    <t xml:space="preserve">Tabla 3: CAC por inversor activo (filas) × ticket (columnas) → margen de contribución por USD de GMV (recurrencia base)</t>
  </si>
  <si>
    <t xml:space="preserve">CAC \ ticket</t>
  </si>
  <si>
    <t xml:space="preserve">Tabla 4: M1 — campañas/año (filas) × monto medio (columnas) → resultado operativo M1 (fees base)</t>
  </si>
  <si>
    <t xml:space="preserve">campañas \ monto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</si>
</sst>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0.00%"/>
    <numFmt numFmtId="167" formatCode="#,##0"/>
    <numFmt numFmtId="168" formatCode="0.0%"/>
    <numFmt numFmtId="169" formatCode="0.000"/>
    <numFmt numFmtId="170" formatCode="#,##0.0"/>
    <numFmt numFmtId="171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6" min="3" style="0" width="14"/>
    <col collapsed="false" customWidth="true" hidden="false" outlineLevel="0" max="7" min="7" style="0" width="11"/>
    <col collapsed="false" customWidth="true" hidden="false" outlineLevel="0" max="8" min="8" style="0" width="95"/>
  </cols>
  <sheetData>
    <row r="1" customFormat="false" ht="15" hidden="false" customHeight="false" outlineLevel="0" collapsed="false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3" t="n">
        <v>4</v>
      </c>
      <c r="E2" s="3" t="n">
        <v>12</v>
      </c>
      <c r="F2" s="3" t="n">
        <v>30</v>
      </c>
      <c r="G2" s="4" t="s">
        <v>20</v>
      </c>
      <c r="H2" s="4" t="s">
        <v>21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24</v>
      </c>
      <c r="D3" s="3" t="n">
        <v>150000</v>
      </c>
      <c r="E3" s="3" t="n">
        <v>400000</v>
      </c>
      <c r="F3" s="3" t="n">
        <v>1000000</v>
      </c>
      <c r="G3" s="4" t="s">
        <v>20</v>
      </c>
      <c r="H3" s="4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0" t="s">
        <v>28</v>
      </c>
      <c r="D4" s="5" t="n">
        <v>0.04</v>
      </c>
      <c r="E4" s="5" t="n">
        <v>0.06</v>
      </c>
      <c r="F4" s="5" t="n">
        <v>0.08</v>
      </c>
      <c r="G4" s="4" t="s">
        <v>20</v>
      </c>
      <c r="H4" s="4" t="s">
        <v>29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28</v>
      </c>
      <c r="D5" s="5" t="n">
        <v>0</v>
      </c>
      <c r="E5" s="5" t="n">
        <v>0.01</v>
      </c>
      <c r="F5" s="5" t="n">
        <v>0.02</v>
      </c>
      <c r="G5" s="4" t="s">
        <v>20</v>
      </c>
      <c r="H5" s="4" t="s">
        <v>32</v>
      </c>
    </row>
    <row r="6" customFormat="false" ht="15" hidden="false" customHeight="false" outlineLevel="0" collapsed="false">
      <c r="A6" s="0" t="s">
        <v>33</v>
      </c>
      <c r="B6" s="0" t="s">
        <v>34</v>
      </c>
      <c r="C6" s="0" t="s">
        <v>24</v>
      </c>
      <c r="D6" s="3" t="n">
        <v>300</v>
      </c>
      <c r="E6" s="3" t="n">
        <v>800</v>
      </c>
      <c r="F6" s="3" t="n">
        <v>2000</v>
      </c>
      <c r="G6" s="4" t="s">
        <v>20</v>
      </c>
      <c r="H6" s="4" t="s">
        <v>35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38</v>
      </c>
      <c r="D7" s="3" t="n">
        <v>1</v>
      </c>
      <c r="E7" s="3" t="n">
        <v>2</v>
      </c>
      <c r="F7" s="3" t="n">
        <v>4</v>
      </c>
      <c r="G7" s="4" t="s">
        <v>20</v>
      </c>
      <c r="H7" s="4" t="s">
        <v>39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24</v>
      </c>
      <c r="D8" s="3" t="n">
        <v>2000</v>
      </c>
      <c r="E8" s="3" t="n">
        <v>267</v>
      </c>
      <c r="F8" s="3" t="n">
        <v>50</v>
      </c>
      <c r="G8" s="4" t="s">
        <v>20</v>
      </c>
      <c r="H8" s="4" t="s">
        <v>42</v>
      </c>
    </row>
    <row r="9" customFormat="false" ht="15" hidden="false" customHeight="false" outlineLevel="0" collapsed="false">
      <c r="A9" s="0" t="s">
        <v>43</v>
      </c>
      <c r="B9" s="0" t="s">
        <v>44</v>
      </c>
      <c r="C9" s="0" t="s">
        <v>24</v>
      </c>
      <c r="D9" s="6" t="n">
        <v>1.9</v>
      </c>
      <c r="E9" s="6" t="n">
        <v>1.4</v>
      </c>
      <c r="F9" s="6" t="n">
        <v>0.8</v>
      </c>
      <c r="G9" s="4" t="s">
        <v>45</v>
      </c>
      <c r="H9" s="4" t="s">
        <v>46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s">
        <v>24</v>
      </c>
      <c r="D10" s="3" t="n">
        <v>12</v>
      </c>
      <c r="E10" s="3" t="n">
        <v>6</v>
      </c>
      <c r="F10" s="3" t="n">
        <v>3</v>
      </c>
      <c r="G10" s="4" t="s">
        <v>20</v>
      </c>
      <c r="H10" s="4" t="s">
        <v>49</v>
      </c>
    </row>
    <row r="11" customFormat="false" ht="15" hidden="false" customHeight="false" outlineLevel="0" collapsed="false">
      <c r="A11" s="0" t="s">
        <v>50</v>
      </c>
      <c r="B11" s="0" t="s">
        <v>51</v>
      </c>
      <c r="C11" s="0" t="s">
        <v>24</v>
      </c>
      <c r="D11" s="3" t="n">
        <v>10000</v>
      </c>
      <c r="E11" s="3" t="n">
        <v>4000</v>
      </c>
      <c r="F11" s="3" t="n">
        <v>1500</v>
      </c>
      <c r="G11" s="4" t="s">
        <v>20</v>
      </c>
      <c r="H11" s="4" t="s">
        <v>52</v>
      </c>
    </row>
    <row r="12" customFormat="false" ht="15" hidden="false" customHeight="false" outlineLevel="0" collapsed="false">
      <c r="A12" s="0" t="s">
        <v>53</v>
      </c>
      <c r="B12" s="0" t="s">
        <v>54</v>
      </c>
      <c r="C12" s="0" t="s">
        <v>24</v>
      </c>
      <c r="D12" s="3" t="n">
        <v>5000</v>
      </c>
      <c r="E12" s="3" t="n">
        <v>3000</v>
      </c>
      <c r="F12" s="3" t="n">
        <v>1500</v>
      </c>
      <c r="G12" s="4" t="s">
        <v>20</v>
      </c>
      <c r="H12" s="4" t="s">
        <v>55</v>
      </c>
    </row>
    <row r="13" customFormat="false" ht="15" hidden="false" customHeight="false" outlineLevel="0" collapsed="false">
      <c r="A13" s="0" t="s">
        <v>56</v>
      </c>
      <c r="B13" s="0" t="s">
        <v>57</v>
      </c>
      <c r="C13" s="0" t="s">
        <v>24</v>
      </c>
      <c r="D13" s="3" t="n">
        <v>40000</v>
      </c>
      <c r="E13" s="3" t="n">
        <v>20000</v>
      </c>
      <c r="F13" s="3" t="n">
        <v>8000</v>
      </c>
      <c r="G13" s="4" t="s">
        <v>20</v>
      </c>
      <c r="H13" s="4" t="s">
        <v>58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s">
        <v>28</v>
      </c>
      <c r="D14" s="7" t="n">
        <v>0.00015</v>
      </c>
      <c r="E14" s="7" t="n">
        <v>0.00015</v>
      </c>
      <c r="F14" s="7" t="n">
        <v>0.00015</v>
      </c>
      <c r="G14" s="4" t="s">
        <v>45</v>
      </c>
      <c r="H14" s="4" t="s">
        <v>61</v>
      </c>
    </row>
    <row r="15" customFormat="false" ht="15" hidden="false" customHeight="false" outlineLevel="0" collapsed="false">
      <c r="A15" s="0" t="s">
        <v>62</v>
      </c>
      <c r="B15" s="0" t="s">
        <v>63</v>
      </c>
      <c r="C15" s="0" t="s">
        <v>64</v>
      </c>
      <c r="D15" s="5" t="n">
        <v>0.005</v>
      </c>
      <c r="E15" s="5" t="n">
        <v>0.0025</v>
      </c>
      <c r="F15" s="5" t="n">
        <v>0.001</v>
      </c>
      <c r="G15" s="4" t="s">
        <v>20</v>
      </c>
      <c r="H15" s="4" t="s">
        <v>65</v>
      </c>
    </row>
    <row r="16" customFormat="false" ht="15" hidden="false" customHeight="false" outlineLevel="0" collapsed="false">
      <c r="A16" s="0" t="s">
        <v>66</v>
      </c>
      <c r="B16" s="0" t="s">
        <v>67</v>
      </c>
      <c r="C16" s="0" t="s">
        <v>68</v>
      </c>
      <c r="D16" s="3" t="n">
        <v>600000</v>
      </c>
      <c r="E16" s="3" t="n">
        <v>350000</v>
      </c>
      <c r="F16" s="3" t="n">
        <v>200000</v>
      </c>
      <c r="G16" s="4" t="s">
        <v>20</v>
      </c>
      <c r="H16" s="4" t="s">
        <v>69</v>
      </c>
    </row>
    <row r="17" customFormat="false" ht="15" hidden="false" customHeight="false" outlineLevel="0" collapsed="false">
      <c r="A17" s="0" t="s">
        <v>70</v>
      </c>
      <c r="B17" s="0" t="s">
        <v>71</v>
      </c>
      <c r="C17" s="0" t="s">
        <v>28</v>
      </c>
      <c r="D17" s="5" t="n">
        <v>0.015</v>
      </c>
      <c r="E17" s="5" t="n">
        <v>0.025</v>
      </c>
      <c r="F17" s="5" t="n">
        <v>0.035</v>
      </c>
      <c r="G17" s="4" t="s">
        <v>20</v>
      </c>
      <c r="H17" s="4" t="s">
        <v>72</v>
      </c>
    </row>
    <row r="18" customFormat="false" ht="15" hidden="false" customHeight="false" outlineLevel="0" collapsed="false">
      <c r="A18" s="0" t="s">
        <v>73</v>
      </c>
      <c r="B18" s="0" t="s">
        <v>74</v>
      </c>
      <c r="C18" s="0" t="s">
        <v>24</v>
      </c>
      <c r="D18" s="3" t="n">
        <v>2000</v>
      </c>
      <c r="E18" s="3" t="n">
        <v>4000</v>
      </c>
      <c r="F18" s="3" t="n">
        <v>6000</v>
      </c>
      <c r="G18" s="4" t="s">
        <v>20</v>
      </c>
      <c r="H18" s="4" t="s">
        <v>75</v>
      </c>
    </row>
    <row r="19" customFormat="false" ht="15" hidden="false" customHeight="false" outlineLevel="0" collapsed="false">
      <c r="A19" s="0" t="s">
        <v>76</v>
      </c>
      <c r="B19" s="0" t="s">
        <v>77</v>
      </c>
      <c r="C19" s="0" t="s">
        <v>28</v>
      </c>
      <c r="D19" s="5" t="n">
        <v>0.02</v>
      </c>
      <c r="E19" s="5" t="n">
        <v>0.02</v>
      </c>
      <c r="F19" s="5" t="n">
        <v>0.02</v>
      </c>
      <c r="G19" s="4" t="s">
        <v>20</v>
      </c>
      <c r="H19" s="4" t="s">
        <v>78</v>
      </c>
    </row>
    <row r="20" customFormat="false" ht="15" hidden="false" customHeight="false" outlineLevel="0" collapsed="false">
      <c r="A20" s="0" t="s">
        <v>79</v>
      </c>
      <c r="B20" s="0" t="s">
        <v>80</v>
      </c>
      <c r="C20" s="0" t="s">
        <v>68</v>
      </c>
      <c r="D20" s="3" t="n">
        <v>250000</v>
      </c>
      <c r="E20" s="3" t="n">
        <v>150000</v>
      </c>
      <c r="F20" s="3" t="n">
        <v>90000</v>
      </c>
      <c r="G20" s="4" t="s">
        <v>20</v>
      </c>
      <c r="H20" s="4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2" t="s">
        <v>81</v>
      </c>
      <c r="B1" s="2" t="s">
        <v>12</v>
      </c>
      <c r="C1" s="2" t="s">
        <v>13</v>
      </c>
      <c r="D1" s="2" t="s">
        <v>14</v>
      </c>
      <c r="E1" s="2" t="s">
        <v>82</v>
      </c>
    </row>
    <row r="2" customFormat="false" ht="15" hidden="false" customHeight="false" outlineLevel="0" collapsed="false">
      <c r="A2" s="0" t="s">
        <v>83</v>
      </c>
      <c r="B2" s="8" t="n">
        <f aca="false">Supuestos!$D$2*Supuestos!$D$3</f>
        <v>600000</v>
      </c>
      <c r="C2" s="8" t="n">
        <f aca="false">Supuestos!$E$2*Supuestos!$E$3</f>
        <v>4800000</v>
      </c>
      <c r="D2" s="8" t="n">
        <f aca="false">Supuestos!$F$2*Supuestos!$F$3</f>
        <v>30000000</v>
      </c>
      <c r="E2" s="4" t="s">
        <v>84</v>
      </c>
    </row>
    <row r="3" customFormat="false" ht="15" hidden="false" customHeight="false" outlineLevel="0" collapsed="false">
      <c r="A3" s="0" t="s">
        <v>85</v>
      </c>
      <c r="B3" s="8" t="n">
        <f aca="false">B2/Supuestos!$D$6</f>
        <v>2000</v>
      </c>
      <c r="C3" s="8" t="n">
        <f aca="false">C2/Supuestos!$E$6</f>
        <v>6000</v>
      </c>
      <c r="D3" s="8" t="n">
        <f aca="false">D2/Supuestos!$F$6</f>
        <v>15000</v>
      </c>
      <c r="E3" s="4" t="s">
        <v>86</v>
      </c>
    </row>
    <row r="4" customFormat="false" ht="15" hidden="false" customHeight="false" outlineLevel="0" collapsed="false">
      <c r="A4" s="0" t="s">
        <v>87</v>
      </c>
      <c r="B4" s="8" t="n">
        <f aca="false">Supuestos!$D$6</f>
        <v>300</v>
      </c>
      <c r="C4" s="8" t="n">
        <f aca="false">Supuestos!$E$6</f>
        <v>800</v>
      </c>
      <c r="D4" s="8" t="n">
        <f aca="false">Supuestos!$F$6</f>
        <v>2000</v>
      </c>
      <c r="E4" s="4" t="s">
        <v>88</v>
      </c>
    </row>
    <row r="5" customFormat="false" ht="15" hidden="false" customHeight="false" outlineLevel="0" collapsed="false">
      <c r="A5" s="0" t="s">
        <v>89</v>
      </c>
      <c r="B5" s="9" t="n">
        <f aca="false">Supuestos!$D$4+Supuestos!$D$5</f>
        <v>0.04</v>
      </c>
      <c r="C5" s="9" t="n">
        <f aca="false">Supuestos!$E$4+Supuestos!$E$5</f>
        <v>0.07</v>
      </c>
      <c r="D5" s="9" t="n">
        <f aca="false">Supuestos!$F$4+Supuestos!$F$5</f>
        <v>0.1</v>
      </c>
      <c r="E5" s="4" t="s">
        <v>90</v>
      </c>
    </row>
    <row r="6" customFormat="false" ht="15" hidden="false" customHeight="false" outlineLevel="0" collapsed="false">
      <c r="A6" s="10" t="s">
        <v>91</v>
      </c>
      <c r="B6" s="8" t="n">
        <f aca="false">B3*B4*B5</f>
        <v>24000</v>
      </c>
      <c r="C6" s="8" t="n">
        <f aca="false">C3*C4*C5</f>
        <v>336000</v>
      </c>
      <c r="D6" s="8" t="n">
        <f aca="false">D3*D4*D5</f>
        <v>3000000</v>
      </c>
      <c r="E6" s="4" t="s">
        <v>92</v>
      </c>
    </row>
    <row r="7" customFormat="false" ht="15" hidden="false" customHeight="false" outlineLevel="0" collapsed="false">
      <c r="A7" s="0" t="s">
        <v>93</v>
      </c>
      <c r="B7" s="8" t="n">
        <f aca="false">B3/Supuestos!$D$7</f>
        <v>2000</v>
      </c>
      <c r="C7" s="8" t="n">
        <f aca="false">C3/Supuestos!$E$7</f>
        <v>3000</v>
      </c>
      <c r="D7" s="8" t="n">
        <f aca="false">D3/Supuestos!$F$7</f>
        <v>3750</v>
      </c>
      <c r="E7" s="4" t="s">
        <v>94</v>
      </c>
    </row>
    <row r="8" customFormat="false" ht="15" hidden="false" customHeight="false" outlineLevel="0" collapsed="false">
      <c r="A8" s="0" t="s">
        <v>95</v>
      </c>
      <c r="B8" s="8" t="n">
        <f aca="false">B7*Supuestos!$D$8</f>
        <v>4000000</v>
      </c>
      <c r="C8" s="8" t="n">
        <f aca="false">C7*Supuestos!$E$8</f>
        <v>801000</v>
      </c>
      <c r="D8" s="8" t="n">
        <f aca="false">D7*Supuestos!$F$8</f>
        <v>187500</v>
      </c>
      <c r="E8" s="4" t="s">
        <v>96</v>
      </c>
    </row>
    <row r="9" customFormat="false" ht="15" hidden="false" customHeight="false" outlineLevel="0" collapsed="false">
      <c r="A9" s="0" t="s">
        <v>97</v>
      </c>
      <c r="B9" s="8" t="n">
        <f aca="false">B7*Supuestos!$D$9</f>
        <v>3800</v>
      </c>
      <c r="C9" s="8" t="n">
        <f aca="false">C7*Supuestos!$E$9</f>
        <v>4200</v>
      </c>
      <c r="D9" s="8" t="n">
        <f aca="false">D7*Supuestos!$F$9</f>
        <v>3000</v>
      </c>
      <c r="E9" s="4" t="s">
        <v>98</v>
      </c>
    </row>
    <row r="10" customFormat="false" ht="15" hidden="false" customHeight="false" outlineLevel="0" collapsed="false">
      <c r="A10" s="0" t="s">
        <v>99</v>
      </c>
      <c r="B10" s="8" t="n">
        <f aca="false">B7*Supuestos!$D$10</f>
        <v>24000</v>
      </c>
      <c r="C10" s="8" t="n">
        <f aca="false">C7*Supuestos!$E$10</f>
        <v>18000</v>
      </c>
      <c r="D10" s="8" t="n">
        <f aca="false">D7*Supuestos!$F$10</f>
        <v>11250</v>
      </c>
      <c r="E10" s="4" t="s">
        <v>100</v>
      </c>
    </row>
    <row r="11" customFormat="false" ht="15" hidden="false" customHeight="false" outlineLevel="0" collapsed="false">
      <c r="A11" s="0" t="s">
        <v>101</v>
      </c>
      <c r="B11" s="8" t="n">
        <f aca="false">Supuestos!$D$2*Supuestos!$D$11</f>
        <v>40000</v>
      </c>
      <c r="C11" s="8" t="n">
        <f aca="false">Supuestos!$E$2*Supuestos!$E$11</f>
        <v>48000</v>
      </c>
      <c r="D11" s="8" t="n">
        <f aca="false">Supuestos!$F$2*Supuestos!$F$11</f>
        <v>45000</v>
      </c>
      <c r="E11" s="4" t="s">
        <v>102</v>
      </c>
    </row>
    <row r="12" customFormat="false" ht="15" hidden="false" customHeight="false" outlineLevel="0" collapsed="false">
      <c r="A12" s="0" t="s">
        <v>103</v>
      </c>
      <c r="B12" s="8" t="n">
        <f aca="false">Supuestos!$D$2*Supuestos!$D$12</f>
        <v>20000</v>
      </c>
      <c r="C12" s="8" t="n">
        <f aca="false">Supuestos!$E$2*Supuestos!$E$12</f>
        <v>36000</v>
      </c>
      <c r="D12" s="8" t="n">
        <f aca="false">Supuestos!$F$2*Supuestos!$F$12</f>
        <v>45000</v>
      </c>
      <c r="E12" s="4" t="s">
        <v>104</v>
      </c>
    </row>
    <row r="13" customFormat="false" ht="15" hidden="false" customHeight="false" outlineLevel="0" collapsed="false">
      <c r="A13" s="0" t="s">
        <v>105</v>
      </c>
      <c r="B13" s="8" t="n">
        <f aca="false">B2*Supuestos!$D$15</f>
        <v>3000</v>
      </c>
      <c r="C13" s="8" t="n">
        <f aca="false">C2*Supuestos!$E$15</f>
        <v>12000</v>
      </c>
      <c r="D13" s="8" t="n">
        <f aca="false">D2*Supuestos!$F$15</f>
        <v>30000</v>
      </c>
      <c r="E13" s="4" t="s">
        <v>106</v>
      </c>
    </row>
    <row r="14" customFormat="false" ht="15" hidden="false" customHeight="false" outlineLevel="0" collapsed="false">
      <c r="A14" s="0" t="s">
        <v>107</v>
      </c>
      <c r="B14" s="8" t="n">
        <f aca="false">Supuestos!$D$16</f>
        <v>600000</v>
      </c>
      <c r="C14" s="8" t="n">
        <f aca="false">Supuestos!$E$16</f>
        <v>350000</v>
      </c>
      <c r="D14" s="8" t="n">
        <f aca="false">Supuestos!$F$16</f>
        <v>200000</v>
      </c>
      <c r="E14" s="4" t="s">
        <v>88</v>
      </c>
    </row>
    <row r="15" customFormat="false" ht="15" hidden="false" customHeight="false" outlineLevel="0" collapsed="false">
      <c r="A15" s="0" t="s">
        <v>108</v>
      </c>
      <c r="B15" s="8" t="n">
        <f aca="false">SUM(B8:B14)</f>
        <v>4690800</v>
      </c>
      <c r="C15" s="8" t="n">
        <f aca="false">SUM(C8:C14)</f>
        <v>1269200</v>
      </c>
      <c r="D15" s="8" t="n">
        <f aca="false">SUM(D8:D14)</f>
        <v>521750</v>
      </c>
      <c r="E15" s="4" t="s">
        <v>109</v>
      </c>
    </row>
    <row r="16" customFormat="false" ht="15" hidden="false" customHeight="false" outlineLevel="0" collapsed="false">
      <c r="A16" s="10" t="s">
        <v>110</v>
      </c>
      <c r="B16" s="8" t="n">
        <f aca="false">B6-B15</f>
        <v>-4666800</v>
      </c>
      <c r="C16" s="8" t="n">
        <f aca="false">C6-C15</f>
        <v>-933200</v>
      </c>
      <c r="D16" s="8" t="n">
        <f aca="false">D6-D15</f>
        <v>2478250</v>
      </c>
      <c r="E16" s="4" t="s">
        <v>111</v>
      </c>
    </row>
    <row r="17" customFormat="false" ht="15" hidden="false" customHeight="false" outlineLevel="0" collapsed="false">
      <c r="A17" s="10" t="s">
        <v>112</v>
      </c>
      <c r="B17" s="11" t="n">
        <f aca="false">IF(B6=0,0,B16/B6)</f>
        <v>-194.45</v>
      </c>
      <c r="C17" s="11" t="n">
        <f aca="false">IF(C6=0,0,C16/C6)</f>
        <v>-2.77738095238095</v>
      </c>
      <c r="D17" s="11" t="n">
        <f aca="false">IF(D6=0,0,D16/D6)</f>
        <v>0.826083333333333</v>
      </c>
      <c r="E17" s="4" t="s">
        <v>113</v>
      </c>
    </row>
    <row r="18" customFormat="false" ht="15" hidden="false" customHeight="false" outlineLevel="0" collapsed="false">
      <c r="A18" s="0" t="s">
        <v>114</v>
      </c>
      <c r="B18" s="12" t="n">
        <f aca="false">(Supuestos!$D$8+Supuestos!$D$9+Supuestos!$D$10)/(Supuestos!$D$6*Supuestos!$D$7)+(Supuestos!$D$11+Supuestos!$D$12)/Supuestos!$D$3+Supuestos!$D$15</f>
        <v>6.818</v>
      </c>
      <c r="C18" s="12" t="n">
        <f aca="false">(Supuestos!$E$8+Supuestos!$E$9+Supuestos!$E$10)/(Supuestos!$E$6*Supuestos!$E$7)+(Supuestos!$E$11+Supuestos!$E$12)/Supuestos!$E$3+Supuestos!$E$15</f>
        <v>0.1915</v>
      </c>
      <c r="D18" s="12" t="n">
        <f aca="false">(Supuestos!$F$8+Supuestos!$F$9+Supuestos!$F$10)/(Supuestos!$F$6*Supuestos!$F$7)+(Supuestos!$F$11+Supuestos!$F$12)/Supuestos!$F$3+Supuestos!$F$15</f>
        <v>0.010725</v>
      </c>
      <c r="E18" s="4" t="s">
        <v>115</v>
      </c>
    </row>
    <row r="19" customFormat="false" ht="15" hidden="false" customHeight="false" outlineLevel="0" collapsed="false">
      <c r="A19" s="0" t="s">
        <v>116</v>
      </c>
      <c r="B19" s="12" t="n">
        <f aca="false">B5-B18</f>
        <v>-6.778</v>
      </c>
      <c r="C19" s="12" t="n">
        <f aca="false">C5-C18</f>
        <v>-0.1215</v>
      </c>
      <c r="D19" s="12" t="n">
        <f aca="false">D5-D18</f>
        <v>0.089275</v>
      </c>
      <c r="E19" s="4" t="s">
        <v>117</v>
      </c>
    </row>
    <row r="20" customFormat="false" ht="15" hidden="false" customHeight="false" outlineLevel="0" collapsed="false">
      <c r="A20" s="0" t="s">
        <v>118</v>
      </c>
      <c r="B20" s="8" t="str">
        <f aca="false">IF(B19&lt;=0,"NUNCA (contribución negativa)",Supuestos!$D$16/B19)</f>
        <v>NUNCA (contribución negativa)</v>
      </c>
      <c r="C20" s="8" t="str">
        <f aca="false">IF(C19&lt;=0,"NUNCA (contribución negativa)",Supuestos!$E$16/C19)</f>
        <v>NUNCA (contribución negativa)</v>
      </c>
      <c r="D20" s="8" t="n">
        <f aca="false">IF(D19&lt;=0,"NUNCA (contribución negativa)",Supuestos!$F$16/D19)</f>
        <v>2240268.83225987</v>
      </c>
      <c r="E20" s="4" t="s">
        <v>119</v>
      </c>
    </row>
    <row r="21" customFormat="false" ht="15" hidden="false" customHeight="false" outlineLevel="0" collapsed="false">
      <c r="A21" s="0" t="s">
        <v>120</v>
      </c>
      <c r="B21" s="13" t="str">
        <f aca="false">IF(ISNUMBER(B20),B20/Supuestos!$D$3,"n/a")</f>
        <v>n/a</v>
      </c>
      <c r="C21" s="13" t="str">
        <f aca="false">IF(ISNUMBER(C20),C20/Supuestos!$E$3,"n/a")</f>
        <v>n/a</v>
      </c>
      <c r="D21" s="13" t="n">
        <f aca="false">IF(ISNUMBER(D20),D20/Supuestos!$F$3,"n/a")</f>
        <v>2.24026883225987</v>
      </c>
      <c r="E21" s="4" t="s">
        <v>121</v>
      </c>
    </row>
    <row r="22" customFormat="false" ht="15" hidden="false" customHeight="false" outlineLevel="0" collapsed="false">
      <c r="A22" s="0" t="s">
        <v>122</v>
      </c>
      <c r="B22" s="11" t="n">
        <f aca="false">Supuestos!$D$4+Supuestos!$D$13/Supuestos!$D$3+Supuestos!$D$14</f>
        <v>0.306816666666667</v>
      </c>
      <c r="C22" s="11" t="n">
        <f aca="false">Supuestos!$E$4+Supuestos!$E$13/Supuestos!$E$3+Supuestos!$E$14</f>
        <v>0.11015</v>
      </c>
      <c r="D22" s="11" t="n">
        <f aca="false">Supuestos!$F$4+Supuestos!$F$13/Supuestos!$F$3+Supuestos!$F$14</f>
        <v>0.08815</v>
      </c>
      <c r="E22" s="4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2" t="s">
        <v>81</v>
      </c>
      <c r="B1" s="2" t="s">
        <v>12</v>
      </c>
      <c r="C1" s="2" t="s">
        <v>13</v>
      </c>
      <c r="D1" s="2" t="s">
        <v>14</v>
      </c>
      <c r="E1" s="2" t="s">
        <v>82</v>
      </c>
    </row>
    <row r="2" customFormat="false" ht="15" hidden="false" customHeight="false" outlineLevel="0" collapsed="false">
      <c r="A2" s="0" t="s">
        <v>124</v>
      </c>
      <c r="B2" s="8" t="n">
        <f aca="false">Supuestos!$D$2*Supuestos!$D$3</f>
        <v>600000</v>
      </c>
      <c r="C2" s="8" t="n">
        <f aca="false">Supuestos!$E$2*Supuestos!$E$3</f>
        <v>4800000</v>
      </c>
      <c r="D2" s="8" t="n">
        <f aca="false">Supuestos!$F$2*Supuestos!$F$3</f>
        <v>30000000</v>
      </c>
      <c r="E2" s="4" t="s">
        <v>84</v>
      </c>
    </row>
    <row r="3" customFormat="false" ht="15" hidden="false" customHeight="false" outlineLevel="0" collapsed="false">
      <c r="A3" s="0" t="s">
        <v>125</v>
      </c>
      <c r="B3" s="13" t="n">
        <f aca="false">Supuestos!$D$2</f>
        <v>4</v>
      </c>
      <c r="C3" s="13" t="n">
        <f aca="false">Supuestos!$E$2</f>
        <v>12</v>
      </c>
      <c r="D3" s="13" t="n">
        <f aca="false">Supuestos!$F$2</f>
        <v>30</v>
      </c>
      <c r="E3" s="4" t="s">
        <v>126</v>
      </c>
    </row>
    <row r="4" customFormat="false" ht="15" hidden="false" customHeight="false" outlineLevel="0" collapsed="false">
      <c r="A4" s="0" t="s">
        <v>127</v>
      </c>
      <c r="B4" s="8" t="n">
        <f aca="false">Supuestos!$D$3</f>
        <v>150000</v>
      </c>
      <c r="C4" s="8" t="n">
        <f aca="false">Supuestos!$E$3</f>
        <v>400000</v>
      </c>
      <c r="D4" s="8" t="n">
        <f aca="false">Supuestos!$F$3</f>
        <v>1000000</v>
      </c>
      <c r="E4" s="4" t="s">
        <v>88</v>
      </c>
    </row>
    <row r="5" customFormat="false" ht="15" hidden="false" customHeight="false" outlineLevel="0" collapsed="false">
      <c r="A5" s="0" t="s">
        <v>128</v>
      </c>
      <c r="B5" s="9" t="n">
        <f aca="false">Supuestos!$D$17</f>
        <v>0.015</v>
      </c>
      <c r="C5" s="9" t="n">
        <f aca="false">Supuestos!$E$17</f>
        <v>0.025</v>
      </c>
      <c r="D5" s="9" t="n">
        <f aca="false">Supuestos!$F$17</f>
        <v>0.035</v>
      </c>
      <c r="E5" s="4" t="s">
        <v>129</v>
      </c>
    </row>
    <row r="6" customFormat="false" ht="15" hidden="false" customHeight="false" outlineLevel="0" collapsed="false">
      <c r="A6" s="0" t="s">
        <v>130</v>
      </c>
      <c r="B6" s="8" t="n">
        <f aca="false">B3*B4*B5</f>
        <v>9000</v>
      </c>
      <c r="C6" s="8" t="n">
        <f aca="false">C3*C4*C5</f>
        <v>120000</v>
      </c>
      <c r="D6" s="8" t="n">
        <f aca="false">D3*D4*D5</f>
        <v>1050000</v>
      </c>
      <c r="E6" s="4" t="s">
        <v>92</v>
      </c>
    </row>
    <row r="7" customFormat="false" ht="15" hidden="false" customHeight="false" outlineLevel="0" collapsed="false">
      <c r="A7" s="0" t="s">
        <v>131</v>
      </c>
      <c r="B7" s="8" t="n">
        <f aca="false">Supuestos!$D$2*Supuestos!$D$18*1</f>
        <v>8000</v>
      </c>
      <c r="C7" s="8" t="n">
        <f aca="false">Supuestos!$E$2*Supuestos!$E$18*1</f>
        <v>48000</v>
      </c>
      <c r="D7" s="8" t="n">
        <f aca="false">Supuestos!$F$2*Supuestos!$F$18*1</f>
        <v>180000</v>
      </c>
      <c r="E7" s="4" t="s">
        <v>132</v>
      </c>
    </row>
    <row r="8" customFormat="false" ht="15" hidden="false" customHeight="false" outlineLevel="0" collapsed="false">
      <c r="A8" s="10" t="s">
        <v>133</v>
      </c>
      <c r="B8" s="8" t="n">
        <f aca="false">B6+B7</f>
        <v>17000</v>
      </c>
      <c r="C8" s="8" t="n">
        <f aca="false">C6+C7</f>
        <v>168000</v>
      </c>
      <c r="D8" s="8" t="n">
        <f aca="false">D6+D7</f>
        <v>1230000</v>
      </c>
      <c r="E8" s="4" t="s">
        <v>109</v>
      </c>
    </row>
    <row r="9" customFormat="false" ht="15" hidden="false" customHeight="false" outlineLevel="0" collapsed="false">
      <c r="A9" s="0" t="s">
        <v>101</v>
      </c>
      <c r="B9" s="8" t="n">
        <f aca="false">Supuestos!$D$2*Supuestos!$D$11</f>
        <v>40000</v>
      </c>
      <c r="C9" s="8" t="n">
        <f aca="false">Supuestos!$E$2*Supuestos!$E$11</f>
        <v>48000</v>
      </c>
      <c r="D9" s="8" t="n">
        <f aca="false">Supuestos!$F$2*Supuestos!$F$11</f>
        <v>45000</v>
      </c>
      <c r="E9" s="4" t="s">
        <v>102</v>
      </c>
    </row>
    <row r="10" customFormat="false" ht="15" hidden="false" customHeight="false" outlineLevel="0" collapsed="false">
      <c r="A10" s="0" t="s">
        <v>103</v>
      </c>
      <c r="B10" s="8" t="n">
        <f aca="false">Supuestos!$D$2*Supuestos!$D$12</f>
        <v>20000</v>
      </c>
      <c r="C10" s="8" t="n">
        <f aca="false">Supuestos!$E$2*Supuestos!$E$12</f>
        <v>36000</v>
      </c>
      <c r="D10" s="8" t="n">
        <f aca="false">Supuestos!$F$2*Supuestos!$F$12</f>
        <v>45000</v>
      </c>
      <c r="E10" s="4" t="s">
        <v>104</v>
      </c>
    </row>
    <row r="11" customFormat="false" ht="15" hidden="false" customHeight="false" outlineLevel="0" collapsed="false">
      <c r="A11" s="0" t="s">
        <v>134</v>
      </c>
      <c r="B11" s="8" t="n">
        <f aca="false">B2*Supuestos!$D$15/2</f>
        <v>1500</v>
      </c>
      <c r="C11" s="8" t="n">
        <f aca="false">C2*Supuestos!$E$15/2</f>
        <v>6000</v>
      </c>
      <c r="D11" s="8" t="n">
        <f aca="false">D2*Supuestos!$F$15/2</f>
        <v>15000</v>
      </c>
      <c r="E11" s="4" t="s">
        <v>135</v>
      </c>
    </row>
    <row r="12" customFormat="false" ht="15" hidden="false" customHeight="false" outlineLevel="0" collapsed="false">
      <c r="A12" s="0" t="s">
        <v>107</v>
      </c>
      <c r="B12" s="8" t="n">
        <f aca="false">Supuestos!$D$20</f>
        <v>250000</v>
      </c>
      <c r="C12" s="8" t="n">
        <f aca="false">Supuestos!$E$20</f>
        <v>150000</v>
      </c>
      <c r="D12" s="8" t="n">
        <f aca="false">Supuestos!$F$20</f>
        <v>90000</v>
      </c>
      <c r="E12" s="4" t="s">
        <v>88</v>
      </c>
    </row>
    <row r="13" customFormat="false" ht="15" hidden="false" customHeight="false" outlineLevel="0" collapsed="false">
      <c r="A13" s="0" t="s">
        <v>108</v>
      </c>
      <c r="B13" s="8" t="n">
        <f aca="false">SUM(B9:B12)</f>
        <v>311500</v>
      </c>
      <c r="C13" s="8" t="n">
        <f aca="false">SUM(C9:C12)</f>
        <v>240000</v>
      </c>
      <c r="D13" s="8" t="n">
        <f aca="false">SUM(D9:D12)</f>
        <v>195000</v>
      </c>
      <c r="E13" s="4" t="s">
        <v>109</v>
      </c>
    </row>
    <row r="14" customFormat="false" ht="15" hidden="false" customHeight="false" outlineLevel="0" collapsed="false">
      <c r="A14" s="10" t="s">
        <v>110</v>
      </c>
      <c r="B14" s="8" t="n">
        <f aca="false">B8-B13</f>
        <v>-294500</v>
      </c>
      <c r="C14" s="8" t="n">
        <f aca="false">C8-C13</f>
        <v>-72000</v>
      </c>
      <c r="D14" s="8" t="n">
        <f aca="false">D8-D13</f>
        <v>1035000</v>
      </c>
      <c r="E14" s="4" t="s">
        <v>111</v>
      </c>
    </row>
    <row r="15" customFormat="false" ht="15" hidden="false" customHeight="false" outlineLevel="0" collapsed="false">
      <c r="A15" s="10" t="s">
        <v>112</v>
      </c>
      <c r="B15" s="11" t="n">
        <f aca="false">IF(B8=0,0,B14/B8)</f>
        <v>-17.3235294117647</v>
      </c>
      <c r="C15" s="11" t="n">
        <f aca="false">IF(C8=0,0,C14/C8)</f>
        <v>-0.428571428571429</v>
      </c>
      <c r="D15" s="11" t="n">
        <f aca="false">IF(D8=0,0,D14/D8)</f>
        <v>0.841463414634146</v>
      </c>
      <c r="E15" s="4" t="s">
        <v>113</v>
      </c>
    </row>
    <row r="16" customFormat="false" ht="15" hidden="false" customHeight="false" outlineLevel="0" collapsed="false">
      <c r="A16" s="0" t="s">
        <v>136</v>
      </c>
      <c r="B16" s="8" t="n">
        <f aca="false">Supuestos!$D$3*Supuestos!$D$17+Supuestos!$D$18-Supuestos!$D$11-Supuestos!$D$12-Supuestos!$D$3*Supuestos!$D$15/2</f>
        <v>-11125</v>
      </c>
      <c r="C16" s="8" t="n">
        <f aca="false">Supuestos!$E$3*Supuestos!$E$17+Supuestos!$E$18-Supuestos!$E$11-Supuestos!$E$12-Supuestos!$E$3*Supuestos!$E$15/2</f>
        <v>6500</v>
      </c>
      <c r="D16" s="8" t="n">
        <f aca="false">Supuestos!$F$3*Supuestos!$F$17+Supuestos!$F$18-Supuestos!$F$11-Supuestos!$F$12-Supuestos!$F$3*Supuestos!$F$15/2</f>
        <v>37500</v>
      </c>
      <c r="E16" s="4" t="s">
        <v>137</v>
      </c>
    </row>
    <row r="17" customFormat="false" ht="15" hidden="false" customHeight="false" outlineLevel="0" collapsed="false">
      <c r="A17" s="0" t="s">
        <v>120</v>
      </c>
      <c r="B17" s="13" t="str">
        <f aca="false">IF(B16&lt;=0,"NUNCA",Supuestos!$D$20/B16)</f>
        <v>NUNCA</v>
      </c>
      <c r="C17" s="13" t="n">
        <f aca="false">IF(C16&lt;=0,"NUNCA",Supuestos!$E$20/C16)</f>
        <v>23.0769230769231</v>
      </c>
      <c r="D17" s="13" t="n">
        <f aca="false">IF(D16&lt;=0,"NUNCA",Supuestos!$F$20/D16)</f>
        <v>2.4</v>
      </c>
      <c r="E17" s="4" t="s">
        <v>138</v>
      </c>
    </row>
    <row r="18" customFormat="false" ht="15" hidden="false" customHeight="false" outlineLevel="0" collapsed="false">
      <c r="A18" s="0" t="s">
        <v>122</v>
      </c>
      <c r="B18" s="11" t="n">
        <f aca="false">(Supuestos!$D$17*Supuestos!$D$3+Supuestos!$D$18+Supuestos!$D$13)/Supuestos!$D$3+Supuestos!$D$14+Supuestos!$D$19</f>
        <v>0.31515</v>
      </c>
      <c r="C18" s="11" t="n">
        <f aca="false">(Supuestos!$E$17*Supuestos!$E$3+Supuestos!$E$18+Supuestos!$E$13)/Supuestos!$E$3+Supuestos!$E$14+Supuestos!$E$19</f>
        <v>0.10515</v>
      </c>
      <c r="D18" s="11" t="n">
        <f aca="false">(Supuestos!$F$17*Supuestos!$F$3+Supuestos!$F$18+Supuestos!$F$13)/Supuestos!$F$3+Supuestos!$F$14+Supuestos!$F$19</f>
        <v>0.06915</v>
      </c>
      <c r="E18" s="4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10" t="s">
        <v>140</v>
      </c>
    </row>
    <row r="3" customFormat="false" ht="15" hidden="false" customHeight="false" outlineLevel="0" collapsed="false">
      <c r="A3" s="10" t="s">
        <v>141</v>
      </c>
    </row>
    <row r="4" customFormat="false" ht="15" hidden="false" customHeight="false" outlineLevel="0" collapsed="false">
      <c r="A4" s="0" t="s">
        <v>142</v>
      </c>
      <c r="B4" s="14" t="n">
        <v>0.03</v>
      </c>
      <c r="C4" s="14" t="n">
        <v>0.04</v>
      </c>
      <c r="D4" s="14" t="n">
        <v>0.05</v>
      </c>
      <c r="E4" s="14" t="n">
        <v>0.06</v>
      </c>
      <c r="F4" s="14" t="n">
        <v>0.07</v>
      </c>
      <c r="G4" s="14" t="n">
        <v>0.08</v>
      </c>
      <c r="H4" s="14" t="n">
        <v>0.1</v>
      </c>
    </row>
    <row r="5" customFormat="false" ht="15" hidden="false" customHeight="false" outlineLevel="0" collapsed="false">
      <c r="A5" s="8" t="n">
        <v>1000000</v>
      </c>
      <c r="B5" s="8" t="n">
        <f aca="false">$A5*(B$4-((Supuestos!$E$8+Supuestos!$E$9+Supuestos!$E$10)/(Supuestos!$E$6*Supuestos!$E$7)+(Supuestos!$E$11+Supuestos!$E$12)/Supuestos!$E$3+Supuestos!$E$15))-Supuestos!$E$16</f>
        <v>-511500</v>
      </c>
      <c r="C5" s="8" t="n">
        <f aca="false">$A5*(C$4-((Supuestos!$E$8+Supuestos!$E$9+Supuestos!$E$10)/(Supuestos!$E$6*Supuestos!$E$7)+(Supuestos!$E$11+Supuestos!$E$12)/Supuestos!$E$3+Supuestos!$E$15))-Supuestos!$E$16</f>
        <v>-501500</v>
      </c>
      <c r="D5" s="8" t="n">
        <f aca="false">$A5*(D$4-((Supuestos!$E$8+Supuestos!$E$9+Supuestos!$E$10)/(Supuestos!$E$6*Supuestos!$E$7)+(Supuestos!$E$11+Supuestos!$E$12)/Supuestos!$E$3+Supuestos!$E$15))-Supuestos!$E$16</f>
        <v>-491500</v>
      </c>
      <c r="E5" s="8" t="n">
        <f aca="false">$A5*(E$4-((Supuestos!$E$8+Supuestos!$E$9+Supuestos!$E$10)/(Supuestos!$E$6*Supuestos!$E$7)+(Supuestos!$E$11+Supuestos!$E$12)/Supuestos!$E$3+Supuestos!$E$15))-Supuestos!$E$16</f>
        <v>-481500</v>
      </c>
      <c r="F5" s="8" t="n">
        <f aca="false">$A5*(F$4-((Supuestos!$E$8+Supuestos!$E$9+Supuestos!$E$10)/(Supuestos!$E$6*Supuestos!$E$7)+(Supuestos!$E$11+Supuestos!$E$12)/Supuestos!$E$3+Supuestos!$E$15))-Supuestos!$E$16</f>
        <v>-471500</v>
      </c>
      <c r="G5" s="8" t="n">
        <f aca="false">$A5*(G$4-((Supuestos!$E$8+Supuestos!$E$9+Supuestos!$E$10)/(Supuestos!$E$6*Supuestos!$E$7)+(Supuestos!$E$11+Supuestos!$E$12)/Supuestos!$E$3+Supuestos!$E$15))-Supuestos!$E$16</f>
        <v>-461500</v>
      </c>
      <c r="H5" s="8" t="n">
        <f aca="false">$A5*(H$4-((Supuestos!$E$8+Supuestos!$E$9+Supuestos!$E$10)/(Supuestos!$E$6*Supuestos!$E$7)+(Supuestos!$E$11+Supuestos!$E$12)/Supuestos!$E$3+Supuestos!$E$15))-Supuestos!$E$16</f>
        <v>-441500</v>
      </c>
    </row>
    <row r="6" customFormat="false" ht="15" hidden="false" customHeight="false" outlineLevel="0" collapsed="false">
      <c r="A6" s="8" t="n">
        <v>2500000</v>
      </c>
      <c r="B6" s="8" t="n">
        <f aca="false">$A6*(B$4-((Supuestos!$E$8+Supuestos!$E$9+Supuestos!$E$10)/(Supuestos!$E$6*Supuestos!$E$7)+(Supuestos!$E$11+Supuestos!$E$12)/Supuestos!$E$3+Supuestos!$E$15))-Supuestos!$E$16</f>
        <v>-753750</v>
      </c>
      <c r="C6" s="8" t="n">
        <f aca="false">$A6*(C$4-((Supuestos!$E$8+Supuestos!$E$9+Supuestos!$E$10)/(Supuestos!$E$6*Supuestos!$E$7)+(Supuestos!$E$11+Supuestos!$E$12)/Supuestos!$E$3+Supuestos!$E$15))-Supuestos!$E$16</f>
        <v>-728750</v>
      </c>
      <c r="D6" s="8" t="n">
        <f aca="false">$A6*(D$4-((Supuestos!$E$8+Supuestos!$E$9+Supuestos!$E$10)/(Supuestos!$E$6*Supuestos!$E$7)+(Supuestos!$E$11+Supuestos!$E$12)/Supuestos!$E$3+Supuestos!$E$15))-Supuestos!$E$16</f>
        <v>-703750</v>
      </c>
      <c r="E6" s="8" t="n">
        <f aca="false">$A6*(E$4-((Supuestos!$E$8+Supuestos!$E$9+Supuestos!$E$10)/(Supuestos!$E$6*Supuestos!$E$7)+(Supuestos!$E$11+Supuestos!$E$12)/Supuestos!$E$3+Supuestos!$E$15))-Supuestos!$E$16</f>
        <v>-678750</v>
      </c>
      <c r="F6" s="8" t="n">
        <f aca="false">$A6*(F$4-((Supuestos!$E$8+Supuestos!$E$9+Supuestos!$E$10)/(Supuestos!$E$6*Supuestos!$E$7)+(Supuestos!$E$11+Supuestos!$E$12)/Supuestos!$E$3+Supuestos!$E$15))-Supuestos!$E$16</f>
        <v>-653750</v>
      </c>
      <c r="G6" s="8" t="n">
        <f aca="false">$A6*(G$4-((Supuestos!$E$8+Supuestos!$E$9+Supuestos!$E$10)/(Supuestos!$E$6*Supuestos!$E$7)+(Supuestos!$E$11+Supuestos!$E$12)/Supuestos!$E$3+Supuestos!$E$15))-Supuestos!$E$16</f>
        <v>-628750</v>
      </c>
      <c r="H6" s="8" t="n">
        <f aca="false">$A6*(H$4-((Supuestos!$E$8+Supuestos!$E$9+Supuestos!$E$10)/(Supuestos!$E$6*Supuestos!$E$7)+(Supuestos!$E$11+Supuestos!$E$12)/Supuestos!$E$3+Supuestos!$E$15))-Supuestos!$E$16</f>
        <v>-578750</v>
      </c>
    </row>
    <row r="7" customFormat="false" ht="15" hidden="false" customHeight="false" outlineLevel="0" collapsed="false">
      <c r="A7" s="8" t="n">
        <v>5000000</v>
      </c>
      <c r="B7" s="8" t="n">
        <f aca="false">$A7*(B$4-((Supuestos!$E$8+Supuestos!$E$9+Supuestos!$E$10)/(Supuestos!$E$6*Supuestos!$E$7)+(Supuestos!$E$11+Supuestos!$E$12)/Supuestos!$E$3+Supuestos!$E$15))-Supuestos!$E$16</f>
        <v>-1157500</v>
      </c>
      <c r="C7" s="8" t="n">
        <f aca="false">$A7*(C$4-((Supuestos!$E$8+Supuestos!$E$9+Supuestos!$E$10)/(Supuestos!$E$6*Supuestos!$E$7)+(Supuestos!$E$11+Supuestos!$E$12)/Supuestos!$E$3+Supuestos!$E$15))-Supuestos!$E$16</f>
        <v>-1107500</v>
      </c>
      <c r="D7" s="8" t="n">
        <f aca="false">$A7*(D$4-((Supuestos!$E$8+Supuestos!$E$9+Supuestos!$E$10)/(Supuestos!$E$6*Supuestos!$E$7)+(Supuestos!$E$11+Supuestos!$E$12)/Supuestos!$E$3+Supuestos!$E$15))-Supuestos!$E$16</f>
        <v>-1057500</v>
      </c>
      <c r="E7" s="8" t="n">
        <f aca="false">$A7*(E$4-((Supuestos!$E$8+Supuestos!$E$9+Supuestos!$E$10)/(Supuestos!$E$6*Supuestos!$E$7)+(Supuestos!$E$11+Supuestos!$E$12)/Supuestos!$E$3+Supuestos!$E$15))-Supuestos!$E$16</f>
        <v>-1007500</v>
      </c>
      <c r="F7" s="8" t="n">
        <f aca="false">$A7*(F$4-((Supuestos!$E$8+Supuestos!$E$9+Supuestos!$E$10)/(Supuestos!$E$6*Supuestos!$E$7)+(Supuestos!$E$11+Supuestos!$E$12)/Supuestos!$E$3+Supuestos!$E$15))-Supuestos!$E$16</f>
        <v>-957500</v>
      </c>
      <c r="G7" s="8" t="n">
        <f aca="false">$A7*(G$4-((Supuestos!$E$8+Supuestos!$E$9+Supuestos!$E$10)/(Supuestos!$E$6*Supuestos!$E$7)+(Supuestos!$E$11+Supuestos!$E$12)/Supuestos!$E$3+Supuestos!$E$15))-Supuestos!$E$16</f>
        <v>-907500</v>
      </c>
      <c r="H7" s="8" t="n">
        <f aca="false">$A7*(H$4-((Supuestos!$E$8+Supuestos!$E$9+Supuestos!$E$10)/(Supuestos!$E$6*Supuestos!$E$7)+(Supuestos!$E$11+Supuestos!$E$12)/Supuestos!$E$3+Supuestos!$E$15))-Supuestos!$E$16</f>
        <v>-807500</v>
      </c>
    </row>
    <row r="8" customFormat="false" ht="15" hidden="false" customHeight="false" outlineLevel="0" collapsed="false">
      <c r="A8" s="8" t="n">
        <v>10000000</v>
      </c>
      <c r="B8" s="8" t="n">
        <f aca="false">$A8*(B$4-((Supuestos!$E$8+Supuestos!$E$9+Supuestos!$E$10)/(Supuestos!$E$6*Supuestos!$E$7)+(Supuestos!$E$11+Supuestos!$E$12)/Supuestos!$E$3+Supuestos!$E$15))-Supuestos!$E$16</f>
        <v>-1965000</v>
      </c>
      <c r="C8" s="8" t="n">
        <f aca="false">$A8*(C$4-((Supuestos!$E$8+Supuestos!$E$9+Supuestos!$E$10)/(Supuestos!$E$6*Supuestos!$E$7)+(Supuestos!$E$11+Supuestos!$E$12)/Supuestos!$E$3+Supuestos!$E$15))-Supuestos!$E$16</f>
        <v>-1865000</v>
      </c>
      <c r="D8" s="8" t="n">
        <f aca="false">$A8*(D$4-((Supuestos!$E$8+Supuestos!$E$9+Supuestos!$E$10)/(Supuestos!$E$6*Supuestos!$E$7)+(Supuestos!$E$11+Supuestos!$E$12)/Supuestos!$E$3+Supuestos!$E$15))-Supuestos!$E$16</f>
        <v>-1765000</v>
      </c>
      <c r="E8" s="8" t="n">
        <f aca="false">$A8*(E$4-((Supuestos!$E$8+Supuestos!$E$9+Supuestos!$E$10)/(Supuestos!$E$6*Supuestos!$E$7)+(Supuestos!$E$11+Supuestos!$E$12)/Supuestos!$E$3+Supuestos!$E$15))-Supuestos!$E$16</f>
        <v>-1665000</v>
      </c>
      <c r="F8" s="8" t="n">
        <f aca="false">$A8*(F$4-((Supuestos!$E$8+Supuestos!$E$9+Supuestos!$E$10)/(Supuestos!$E$6*Supuestos!$E$7)+(Supuestos!$E$11+Supuestos!$E$12)/Supuestos!$E$3+Supuestos!$E$15))-Supuestos!$E$16</f>
        <v>-1565000</v>
      </c>
      <c r="G8" s="8" t="n">
        <f aca="false">$A8*(G$4-((Supuestos!$E$8+Supuestos!$E$9+Supuestos!$E$10)/(Supuestos!$E$6*Supuestos!$E$7)+(Supuestos!$E$11+Supuestos!$E$12)/Supuestos!$E$3+Supuestos!$E$15))-Supuestos!$E$16</f>
        <v>-1465000</v>
      </c>
      <c r="H8" s="8" t="n">
        <f aca="false">$A8*(H$4-((Supuestos!$E$8+Supuestos!$E$9+Supuestos!$E$10)/(Supuestos!$E$6*Supuestos!$E$7)+(Supuestos!$E$11+Supuestos!$E$12)/Supuestos!$E$3+Supuestos!$E$15))-Supuestos!$E$16</f>
        <v>-1265000</v>
      </c>
    </row>
    <row r="9" customFormat="false" ht="15" hidden="false" customHeight="false" outlineLevel="0" collapsed="false">
      <c r="A9" s="8" t="n">
        <v>20000000</v>
      </c>
      <c r="B9" s="8" t="n">
        <f aca="false">$A9*(B$4-((Supuestos!$E$8+Supuestos!$E$9+Supuestos!$E$10)/(Supuestos!$E$6*Supuestos!$E$7)+(Supuestos!$E$11+Supuestos!$E$12)/Supuestos!$E$3+Supuestos!$E$15))-Supuestos!$E$16</f>
        <v>-3580000</v>
      </c>
      <c r="C9" s="8" t="n">
        <f aca="false">$A9*(C$4-((Supuestos!$E$8+Supuestos!$E$9+Supuestos!$E$10)/(Supuestos!$E$6*Supuestos!$E$7)+(Supuestos!$E$11+Supuestos!$E$12)/Supuestos!$E$3+Supuestos!$E$15))-Supuestos!$E$16</f>
        <v>-3380000</v>
      </c>
      <c r="D9" s="8" t="n">
        <f aca="false">$A9*(D$4-((Supuestos!$E$8+Supuestos!$E$9+Supuestos!$E$10)/(Supuestos!$E$6*Supuestos!$E$7)+(Supuestos!$E$11+Supuestos!$E$12)/Supuestos!$E$3+Supuestos!$E$15))-Supuestos!$E$16</f>
        <v>-3180000</v>
      </c>
      <c r="E9" s="8" t="n">
        <f aca="false">$A9*(E$4-((Supuestos!$E$8+Supuestos!$E$9+Supuestos!$E$10)/(Supuestos!$E$6*Supuestos!$E$7)+(Supuestos!$E$11+Supuestos!$E$12)/Supuestos!$E$3+Supuestos!$E$15))-Supuestos!$E$16</f>
        <v>-2980000</v>
      </c>
      <c r="F9" s="8" t="n">
        <f aca="false">$A9*(F$4-((Supuestos!$E$8+Supuestos!$E$9+Supuestos!$E$10)/(Supuestos!$E$6*Supuestos!$E$7)+(Supuestos!$E$11+Supuestos!$E$12)/Supuestos!$E$3+Supuestos!$E$15))-Supuestos!$E$16</f>
        <v>-2780000</v>
      </c>
      <c r="G9" s="8" t="n">
        <f aca="false">$A9*(G$4-((Supuestos!$E$8+Supuestos!$E$9+Supuestos!$E$10)/(Supuestos!$E$6*Supuestos!$E$7)+(Supuestos!$E$11+Supuestos!$E$12)/Supuestos!$E$3+Supuestos!$E$15))-Supuestos!$E$16</f>
        <v>-2580000</v>
      </c>
      <c r="H9" s="8" t="n">
        <f aca="false">$A9*(H$4-((Supuestos!$E$8+Supuestos!$E$9+Supuestos!$E$10)/(Supuestos!$E$6*Supuestos!$E$7)+(Supuestos!$E$11+Supuestos!$E$12)/Supuestos!$E$3+Supuestos!$E$15))-Supuestos!$E$16</f>
        <v>-2180000</v>
      </c>
    </row>
    <row r="10" customFormat="false" ht="15" hidden="false" customHeight="false" outlineLevel="0" collapsed="false">
      <c r="A10" s="8" t="n">
        <v>40000000</v>
      </c>
      <c r="B10" s="8" t="n">
        <f aca="false">$A10*(B$4-((Supuestos!$E$8+Supuestos!$E$9+Supuestos!$E$10)/(Supuestos!$E$6*Supuestos!$E$7)+(Supuestos!$E$11+Supuestos!$E$12)/Supuestos!$E$3+Supuestos!$E$15))-Supuestos!$E$16</f>
        <v>-6810000</v>
      </c>
      <c r="C10" s="8" t="n">
        <f aca="false">$A10*(C$4-((Supuestos!$E$8+Supuestos!$E$9+Supuestos!$E$10)/(Supuestos!$E$6*Supuestos!$E$7)+(Supuestos!$E$11+Supuestos!$E$12)/Supuestos!$E$3+Supuestos!$E$15))-Supuestos!$E$16</f>
        <v>-6410000</v>
      </c>
      <c r="D10" s="8" t="n">
        <f aca="false">$A10*(D$4-((Supuestos!$E$8+Supuestos!$E$9+Supuestos!$E$10)/(Supuestos!$E$6*Supuestos!$E$7)+(Supuestos!$E$11+Supuestos!$E$12)/Supuestos!$E$3+Supuestos!$E$15))-Supuestos!$E$16</f>
        <v>-6010000</v>
      </c>
      <c r="E10" s="8" t="n">
        <f aca="false">$A10*(E$4-((Supuestos!$E$8+Supuestos!$E$9+Supuestos!$E$10)/(Supuestos!$E$6*Supuestos!$E$7)+(Supuestos!$E$11+Supuestos!$E$12)/Supuestos!$E$3+Supuestos!$E$15))-Supuestos!$E$16</f>
        <v>-5610000</v>
      </c>
      <c r="F10" s="8" t="n">
        <f aca="false">$A10*(F$4-((Supuestos!$E$8+Supuestos!$E$9+Supuestos!$E$10)/(Supuestos!$E$6*Supuestos!$E$7)+(Supuestos!$E$11+Supuestos!$E$12)/Supuestos!$E$3+Supuestos!$E$15))-Supuestos!$E$16</f>
        <v>-5210000</v>
      </c>
      <c r="G10" s="8" t="n">
        <f aca="false">$A10*(G$4-((Supuestos!$E$8+Supuestos!$E$9+Supuestos!$E$10)/(Supuestos!$E$6*Supuestos!$E$7)+(Supuestos!$E$11+Supuestos!$E$12)/Supuestos!$E$3+Supuestos!$E$15))-Supuestos!$E$16</f>
        <v>-4810000</v>
      </c>
      <c r="H10" s="8" t="n">
        <f aca="false">$A10*(H$4-((Supuestos!$E$8+Supuestos!$E$9+Supuestos!$E$10)/(Supuestos!$E$6*Supuestos!$E$7)+(Supuestos!$E$11+Supuestos!$E$12)/Supuestos!$E$3+Supuestos!$E$15))-Supuestos!$E$16</f>
        <v>-4010000</v>
      </c>
    </row>
    <row r="13" customFormat="false" ht="15" hidden="false" customHeight="false" outlineLevel="0" collapsed="false">
      <c r="A13" s="10" t="s">
        <v>143</v>
      </c>
    </row>
    <row r="14" customFormat="false" ht="15" hidden="false" customHeight="false" outlineLevel="0" collapsed="false">
      <c r="A14" s="0" t="s">
        <v>144</v>
      </c>
      <c r="B14" s="10" t="n">
        <v>1</v>
      </c>
      <c r="C14" s="10" t="n">
        <v>2</v>
      </c>
      <c r="D14" s="10" t="n">
        <v>3</v>
      </c>
      <c r="E14" s="10" t="n">
        <v>5</v>
      </c>
      <c r="F14" s="10" t="n">
        <v>8</v>
      </c>
    </row>
    <row r="15" customFormat="false" ht="15" hidden="false" customHeight="false" outlineLevel="0" collapsed="false">
      <c r="A15" s="8" t="n">
        <v>300</v>
      </c>
      <c r="B15" s="8" t="n">
        <f aca="false">(Supuestos!$E$2*Supuestos!$E$3)*((Supuestos!$E$4+Supuestos!$E$5)-((Supuestos!$E$8+Supuestos!$E$9+Supuestos!$E$10)/($A15*B$14)+(Supuestos!$E$11+Supuestos!$E$12)/Supuestos!$E$3+Supuestos!$E$15))-Supuestos!$E$16</f>
        <v>-4500400</v>
      </c>
      <c r="C15" s="8" t="n">
        <f aca="false">(Supuestos!$E$2*Supuestos!$E$3)*((Supuestos!$E$4+Supuestos!$E$5)-((Supuestos!$E$8+Supuestos!$E$9+Supuestos!$E$10)/($A15*C$14)+(Supuestos!$E$11+Supuestos!$E$12)/Supuestos!$E$3+Supuestos!$E$15))-Supuestos!$E$16</f>
        <v>-2305200</v>
      </c>
      <c r="D15" s="8" t="n">
        <f aca="false">(Supuestos!$E$2*Supuestos!$E$3)*((Supuestos!$E$4+Supuestos!$E$5)-((Supuestos!$E$8+Supuestos!$E$9+Supuestos!$E$10)/($A15*D$14)+(Supuestos!$E$11+Supuestos!$E$12)/Supuestos!$E$3+Supuestos!$E$15))-Supuestos!$E$16</f>
        <v>-1573466.66666667</v>
      </c>
      <c r="E15" s="8" t="n">
        <f aca="false">(Supuestos!$E$2*Supuestos!$E$3)*((Supuestos!$E$4+Supuestos!$E$5)-((Supuestos!$E$8+Supuestos!$E$9+Supuestos!$E$10)/($A15*E$14)+(Supuestos!$E$11+Supuestos!$E$12)/Supuestos!$E$3+Supuestos!$E$15))-Supuestos!$E$16</f>
        <v>-988080</v>
      </c>
      <c r="F15" s="8" t="n">
        <f aca="false">(Supuestos!$E$2*Supuestos!$E$3)*((Supuestos!$E$4+Supuestos!$E$5)-((Supuestos!$E$8+Supuestos!$E$9+Supuestos!$E$10)/($A15*F$14)+(Supuestos!$E$11+Supuestos!$E$12)/Supuestos!$E$3+Supuestos!$E$15))-Supuestos!$E$16</f>
        <v>-658800</v>
      </c>
    </row>
    <row r="16" customFormat="false" ht="15" hidden="false" customHeight="false" outlineLevel="0" collapsed="false">
      <c r="A16" s="8" t="n">
        <v>500</v>
      </c>
      <c r="B16" s="8" t="n">
        <f aca="false">(Supuestos!$E$2*Supuestos!$E$3)*((Supuestos!$E$4+Supuestos!$E$5)-((Supuestos!$E$8+Supuestos!$E$9+Supuestos!$E$10)/($A16*B$14)+(Supuestos!$E$11+Supuestos!$E$12)/Supuestos!$E$3+Supuestos!$E$15))-Supuestos!$E$16</f>
        <v>-2744240</v>
      </c>
      <c r="C16" s="8" t="n">
        <f aca="false">(Supuestos!$E$2*Supuestos!$E$3)*((Supuestos!$E$4+Supuestos!$E$5)-((Supuestos!$E$8+Supuestos!$E$9+Supuestos!$E$10)/($A16*C$14)+(Supuestos!$E$11+Supuestos!$E$12)/Supuestos!$E$3+Supuestos!$E$15))-Supuestos!$E$16</f>
        <v>-1427120</v>
      </c>
      <c r="D16" s="8" t="n">
        <f aca="false">(Supuestos!$E$2*Supuestos!$E$3)*((Supuestos!$E$4+Supuestos!$E$5)-((Supuestos!$E$8+Supuestos!$E$9+Supuestos!$E$10)/($A16*D$14)+(Supuestos!$E$11+Supuestos!$E$12)/Supuestos!$E$3+Supuestos!$E$15))-Supuestos!$E$16</f>
        <v>-988080</v>
      </c>
      <c r="E16" s="8" t="n">
        <f aca="false">(Supuestos!$E$2*Supuestos!$E$3)*((Supuestos!$E$4+Supuestos!$E$5)-((Supuestos!$E$8+Supuestos!$E$9+Supuestos!$E$10)/($A16*E$14)+(Supuestos!$E$11+Supuestos!$E$12)/Supuestos!$E$3+Supuestos!$E$15))-Supuestos!$E$16</f>
        <v>-636848</v>
      </c>
      <c r="F16" s="8" t="n">
        <f aca="false">(Supuestos!$E$2*Supuestos!$E$3)*((Supuestos!$E$4+Supuestos!$E$5)-((Supuestos!$E$8+Supuestos!$E$9+Supuestos!$E$10)/($A16*F$14)+(Supuestos!$E$11+Supuestos!$E$12)/Supuestos!$E$3+Supuestos!$E$15))-Supuestos!$E$16</f>
        <v>-439280</v>
      </c>
    </row>
    <row r="17" customFormat="false" ht="15" hidden="false" customHeight="false" outlineLevel="0" collapsed="false">
      <c r="A17" s="8" t="n">
        <v>800</v>
      </c>
      <c r="B17" s="8" t="n">
        <f aca="false">(Supuestos!$E$2*Supuestos!$E$3)*((Supuestos!$E$4+Supuestos!$E$5)-((Supuestos!$E$8+Supuestos!$E$9+Supuestos!$E$10)/($A17*B$14)+(Supuestos!$E$11+Supuestos!$E$12)/Supuestos!$E$3+Supuestos!$E$15))-Supuestos!$E$16</f>
        <v>-1756400</v>
      </c>
      <c r="C17" s="8" t="n">
        <f aca="false">(Supuestos!$E$2*Supuestos!$E$3)*((Supuestos!$E$4+Supuestos!$E$5)-((Supuestos!$E$8+Supuestos!$E$9+Supuestos!$E$10)/($A17*C$14)+(Supuestos!$E$11+Supuestos!$E$12)/Supuestos!$E$3+Supuestos!$E$15))-Supuestos!$E$16</f>
        <v>-933200</v>
      </c>
      <c r="D17" s="8" t="n">
        <f aca="false">(Supuestos!$E$2*Supuestos!$E$3)*((Supuestos!$E$4+Supuestos!$E$5)-((Supuestos!$E$8+Supuestos!$E$9+Supuestos!$E$10)/($A17*D$14)+(Supuestos!$E$11+Supuestos!$E$12)/Supuestos!$E$3+Supuestos!$E$15))-Supuestos!$E$16</f>
        <v>-658800</v>
      </c>
      <c r="E17" s="8" t="n">
        <f aca="false">(Supuestos!$E$2*Supuestos!$E$3)*((Supuestos!$E$4+Supuestos!$E$5)-((Supuestos!$E$8+Supuestos!$E$9+Supuestos!$E$10)/($A17*E$14)+(Supuestos!$E$11+Supuestos!$E$12)/Supuestos!$E$3+Supuestos!$E$15))-Supuestos!$E$16</f>
        <v>-439280</v>
      </c>
      <c r="F17" s="8" t="n">
        <f aca="false">(Supuestos!$E$2*Supuestos!$E$3)*((Supuestos!$E$4+Supuestos!$E$5)-((Supuestos!$E$8+Supuestos!$E$9+Supuestos!$E$10)/($A17*F$14)+(Supuestos!$E$11+Supuestos!$E$12)/Supuestos!$E$3+Supuestos!$E$15))-Supuestos!$E$16</f>
        <v>-315800</v>
      </c>
    </row>
    <row r="18" customFormat="false" ht="15" hidden="false" customHeight="false" outlineLevel="0" collapsed="false">
      <c r="A18" s="8" t="n">
        <v>1500</v>
      </c>
      <c r="B18" s="8" t="n">
        <f aca="false">(Supuestos!$E$2*Supuestos!$E$3)*((Supuestos!$E$4+Supuestos!$E$5)-((Supuestos!$E$8+Supuestos!$E$9+Supuestos!$E$10)/($A18*B$14)+(Supuestos!$E$11+Supuestos!$E$12)/Supuestos!$E$3+Supuestos!$E$15))-Supuestos!$E$16</f>
        <v>-988080</v>
      </c>
      <c r="C18" s="8" t="n">
        <f aca="false">(Supuestos!$E$2*Supuestos!$E$3)*((Supuestos!$E$4+Supuestos!$E$5)-((Supuestos!$E$8+Supuestos!$E$9+Supuestos!$E$10)/($A18*C$14)+(Supuestos!$E$11+Supuestos!$E$12)/Supuestos!$E$3+Supuestos!$E$15))-Supuestos!$E$16</f>
        <v>-549040</v>
      </c>
      <c r="D18" s="8" t="n">
        <f aca="false">(Supuestos!$E$2*Supuestos!$E$3)*((Supuestos!$E$4+Supuestos!$E$5)-((Supuestos!$E$8+Supuestos!$E$9+Supuestos!$E$10)/($A18*D$14)+(Supuestos!$E$11+Supuestos!$E$12)/Supuestos!$E$3+Supuestos!$E$15))-Supuestos!$E$16</f>
        <v>-402693.333333333</v>
      </c>
      <c r="E18" s="8" t="n">
        <f aca="false">(Supuestos!$E$2*Supuestos!$E$3)*((Supuestos!$E$4+Supuestos!$E$5)-((Supuestos!$E$8+Supuestos!$E$9+Supuestos!$E$10)/($A18*E$14)+(Supuestos!$E$11+Supuestos!$E$12)/Supuestos!$E$3+Supuestos!$E$15))-Supuestos!$E$16</f>
        <v>-285616</v>
      </c>
      <c r="F18" s="8" t="n">
        <f aca="false">(Supuestos!$E$2*Supuestos!$E$3)*((Supuestos!$E$4+Supuestos!$E$5)-((Supuestos!$E$8+Supuestos!$E$9+Supuestos!$E$10)/($A18*F$14)+(Supuestos!$E$11+Supuestos!$E$12)/Supuestos!$E$3+Supuestos!$E$15))-Supuestos!$E$16</f>
        <v>-219760</v>
      </c>
    </row>
    <row r="19" customFormat="false" ht="15" hidden="false" customHeight="false" outlineLevel="0" collapsed="false">
      <c r="A19" s="8" t="n">
        <v>3000</v>
      </c>
      <c r="B19" s="8" t="n">
        <f aca="false">(Supuestos!$E$2*Supuestos!$E$3)*((Supuestos!$E$4+Supuestos!$E$5)-((Supuestos!$E$8+Supuestos!$E$9+Supuestos!$E$10)/($A19*B$14)+(Supuestos!$E$11+Supuestos!$E$12)/Supuestos!$E$3+Supuestos!$E$15))-Supuestos!$E$16</f>
        <v>-549040</v>
      </c>
      <c r="C19" s="8" t="n">
        <f aca="false">(Supuestos!$E$2*Supuestos!$E$3)*((Supuestos!$E$4+Supuestos!$E$5)-((Supuestos!$E$8+Supuestos!$E$9+Supuestos!$E$10)/($A19*C$14)+(Supuestos!$E$11+Supuestos!$E$12)/Supuestos!$E$3+Supuestos!$E$15))-Supuestos!$E$16</f>
        <v>-329520</v>
      </c>
      <c r="D19" s="8" t="n">
        <f aca="false">(Supuestos!$E$2*Supuestos!$E$3)*((Supuestos!$E$4+Supuestos!$E$5)-((Supuestos!$E$8+Supuestos!$E$9+Supuestos!$E$10)/($A19*D$14)+(Supuestos!$E$11+Supuestos!$E$12)/Supuestos!$E$3+Supuestos!$E$15))-Supuestos!$E$16</f>
        <v>-256346.666666667</v>
      </c>
      <c r="E19" s="8" t="n">
        <f aca="false">(Supuestos!$E$2*Supuestos!$E$3)*((Supuestos!$E$4+Supuestos!$E$5)-((Supuestos!$E$8+Supuestos!$E$9+Supuestos!$E$10)/($A19*E$14)+(Supuestos!$E$11+Supuestos!$E$12)/Supuestos!$E$3+Supuestos!$E$15))-Supuestos!$E$16</f>
        <v>-197808</v>
      </c>
      <c r="F19" s="8" t="n">
        <f aca="false">(Supuestos!$E$2*Supuestos!$E$3)*((Supuestos!$E$4+Supuestos!$E$5)-((Supuestos!$E$8+Supuestos!$E$9+Supuestos!$E$10)/($A19*F$14)+(Supuestos!$E$11+Supuestos!$E$12)/Supuestos!$E$3+Supuestos!$E$15))-Supuestos!$E$16</f>
        <v>-164880</v>
      </c>
    </row>
    <row r="20" customFormat="false" ht="15" hidden="false" customHeight="false" outlineLevel="0" collapsed="false">
      <c r="A20" s="8" t="n">
        <v>4300</v>
      </c>
      <c r="B20" s="8" t="n">
        <f aca="false">(Supuestos!$E$2*Supuestos!$E$3)*((Supuestos!$E$4+Supuestos!$E$5)-((Supuestos!$E$8+Supuestos!$E$9+Supuestos!$E$10)/($A20*B$14)+(Supuestos!$E$11+Supuestos!$E$12)/Supuestos!$E$3+Supuestos!$E$15))-Supuestos!$E$16</f>
        <v>-416306.976744186</v>
      </c>
      <c r="C20" s="8" t="n">
        <f aca="false">(Supuestos!$E$2*Supuestos!$E$3)*((Supuestos!$E$4+Supuestos!$E$5)-((Supuestos!$E$8+Supuestos!$E$9+Supuestos!$E$10)/($A20*C$14)+(Supuestos!$E$11+Supuestos!$E$12)/Supuestos!$E$3+Supuestos!$E$15))-Supuestos!$E$16</f>
        <v>-263153.488372093</v>
      </c>
      <c r="D20" s="8" t="n">
        <f aca="false">(Supuestos!$E$2*Supuestos!$E$3)*((Supuestos!$E$4+Supuestos!$E$5)-((Supuestos!$E$8+Supuestos!$E$9+Supuestos!$E$10)/($A20*D$14)+(Supuestos!$E$11+Supuestos!$E$12)/Supuestos!$E$3+Supuestos!$E$15))-Supuestos!$E$16</f>
        <v>-212102.325581395</v>
      </c>
      <c r="E20" s="8" t="n">
        <f aca="false">(Supuestos!$E$2*Supuestos!$E$3)*((Supuestos!$E$4+Supuestos!$E$5)-((Supuestos!$E$8+Supuestos!$E$9+Supuestos!$E$10)/($A20*E$14)+(Supuestos!$E$11+Supuestos!$E$12)/Supuestos!$E$3+Supuestos!$E$15))-Supuestos!$E$16</f>
        <v>-171261.395348837</v>
      </c>
      <c r="F20" s="8" t="n">
        <f aca="false">(Supuestos!$E$2*Supuestos!$E$3)*((Supuestos!$E$4+Supuestos!$E$5)-((Supuestos!$E$8+Supuestos!$E$9+Supuestos!$E$10)/($A20*F$14)+(Supuestos!$E$11+Supuestos!$E$12)/Supuestos!$E$3+Supuestos!$E$15))-Supuestos!$E$16</f>
        <v>-148288.372093023</v>
      </c>
    </row>
    <row r="23" customFormat="false" ht="15" hidden="false" customHeight="false" outlineLevel="0" collapsed="false">
      <c r="A23" s="10" t="s">
        <v>145</v>
      </c>
    </row>
    <row r="24" customFormat="false" ht="15" hidden="false" customHeight="false" outlineLevel="0" collapsed="false">
      <c r="A24" s="0" t="s">
        <v>146</v>
      </c>
      <c r="B24" s="10" t="n">
        <v>300</v>
      </c>
      <c r="C24" s="10" t="n">
        <v>500</v>
      </c>
      <c r="D24" s="10" t="n">
        <v>800</v>
      </c>
      <c r="E24" s="10" t="n">
        <v>1500</v>
      </c>
      <c r="F24" s="10" t="n">
        <v>3000</v>
      </c>
      <c r="G24" s="10" t="n">
        <v>4300</v>
      </c>
    </row>
    <row r="25" customFormat="false" ht="15" hidden="false" customHeight="false" outlineLevel="0" collapsed="false">
      <c r="A25" s="8" t="n">
        <v>20</v>
      </c>
      <c r="B25" s="11" t="n">
        <f aca="false">(Supuestos!$E$4+Supuestos!$E$5)-(($A25+Supuestos!$E$9+Supuestos!$E$10)/(B$24*Supuestos!$E$7)+(Supuestos!$E$11+Supuestos!$E$12)/Supuestos!$E$3+Supuestos!$E$15)</f>
        <v>0.00433333333333333</v>
      </c>
      <c r="C25" s="11" t="n">
        <f aca="false">(Supuestos!$E$4+Supuestos!$E$5)-(($A25+Supuestos!$E$9+Supuestos!$E$10)/(C$24*Supuestos!$E$7)+(Supuestos!$E$11+Supuestos!$E$12)/Supuestos!$E$3+Supuestos!$E$15)</f>
        <v>0.0226</v>
      </c>
      <c r="D25" s="11" t="n">
        <f aca="false">(Supuestos!$E$4+Supuestos!$E$5)-(($A25+Supuestos!$E$9+Supuestos!$E$10)/(D$24*Supuestos!$E$7)+(Supuestos!$E$11+Supuestos!$E$12)/Supuestos!$E$3+Supuestos!$E$15)</f>
        <v>0.032875</v>
      </c>
      <c r="E25" s="11" t="n">
        <f aca="false">(Supuestos!$E$4+Supuestos!$E$5)-(($A25+Supuestos!$E$9+Supuestos!$E$10)/(E$24*Supuestos!$E$7)+(Supuestos!$E$11+Supuestos!$E$12)/Supuestos!$E$3+Supuestos!$E$15)</f>
        <v>0.0408666666666667</v>
      </c>
      <c r="F25" s="11" t="n">
        <f aca="false">(Supuestos!$E$4+Supuestos!$E$5)-(($A25+Supuestos!$E$9+Supuestos!$E$10)/(F$24*Supuestos!$E$7)+(Supuestos!$E$11+Supuestos!$E$12)/Supuestos!$E$3+Supuestos!$E$15)</f>
        <v>0.0454333333333333</v>
      </c>
      <c r="G25" s="11" t="n">
        <f aca="false">(Supuestos!$E$4+Supuestos!$E$5)-(($A25+Supuestos!$E$9+Supuestos!$E$10)/(G$24*Supuestos!$E$7)+(Supuestos!$E$11+Supuestos!$E$12)/Supuestos!$E$3+Supuestos!$E$15)</f>
        <v>0.0468139534883721</v>
      </c>
    </row>
    <row r="26" customFormat="false" ht="15" hidden="false" customHeight="false" outlineLevel="0" collapsed="false">
      <c r="A26" s="8" t="n">
        <v>50</v>
      </c>
      <c r="B26" s="11" t="n">
        <f aca="false">(Supuestos!$E$4+Supuestos!$E$5)-(($A26+Supuestos!$E$9+Supuestos!$E$10)/(B$24*Supuestos!$E$7)+(Supuestos!$E$11+Supuestos!$E$12)/Supuestos!$E$3+Supuestos!$E$15)</f>
        <v>-0.0456666666666667</v>
      </c>
      <c r="C26" s="11" t="n">
        <f aca="false">(Supuestos!$E$4+Supuestos!$E$5)-(($A26+Supuestos!$E$9+Supuestos!$E$10)/(C$24*Supuestos!$E$7)+(Supuestos!$E$11+Supuestos!$E$12)/Supuestos!$E$3+Supuestos!$E$15)</f>
        <v>-0.0074</v>
      </c>
      <c r="D26" s="11" t="n">
        <f aca="false">(Supuestos!$E$4+Supuestos!$E$5)-(($A26+Supuestos!$E$9+Supuestos!$E$10)/(D$24*Supuestos!$E$7)+(Supuestos!$E$11+Supuestos!$E$12)/Supuestos!$E$3+Supuestos!$E$15)</f>
        <v>0.014125</v>
      </c>
      <c r="E26" s="11" t="n">
        <f aca="false">(Supuestos!$E$4+Supuestos!$E$5)-(($A26+Supuestos!$E$9+Supuestos!$E$10)/(E$24*Supuestos!$E$7)+(Supuestos!$E$11+Supuestos!$E$12)/Supuestos!$E$3+Supuestos!$E$15)</f>
        <v>0.0308666666666667</v>
      </c>
      <c r="F26" s="11" t="n">
        <f aca="false">(Supuestos!$E$4+Supuestos!$E$5)-(($A26+Supuestos!$E$9+Supuestos!$E$10)/(F$24*Supuestos!$E$7)+(Supuestos!$E$11+Supuestos!$E$12)/Supuestos!$E$3+Supuestos!$E$15)</f>
        <v>0.0404333333333333</v>
      </c>
      <c r="G26" s="11" t="n">
        <f aca="false">(Supuestos!$E$4+Supuestos!$E$5)-(($A26+Supuestos!$E$9+Supuestos!$E$10)/(G$24*Supuestos!$E$7)+(Supuestos!$E$11+Supuestos!$E$12)/Supuestos!$E$3+Supuestos!$E$15)</f>
        <v>0.0433255813953488</v>
      </c>
    </row>
    <row r="27" customFormat="false" ht="15" hidden="false" customHeight="false" outlineLevel="0" collapsed="false">
      <c r="A27" s="8" t="n">
        <v>100</v>
      </c>
      <c r="B27" s="11" t="n">
        <f aca="false">(Supuestos!$E$4+Supuestos!$E$5)-(($A27+Supuestos!$E$9+Supuestos!$E$10)/(B$24*Supuestos!$E$7)+(Supuestos!$E$11+Supuestos!$E$12)/Supuestos!$E$3+Supuestos!$E$15)</f>
        <v>-0.129</v>
      </c>
      <c r="C27" s="11" t="n">
        <f aca="false">(Supuestos!$E$4+Supuestos!$E$5)-(($A27+Supuestos!$E$9+Supuestos!$E$10)/(C$24*Supuestos!$E$7)+(Supuestos!$E$11+Supuestos!$E$12)/Supuestos!$E$3+Supuestos!$E$15)</f>
        <v>-0.0574</v>
      </c>
      <c r="D27" s="11" t="n">
        <f aca="false">(Supuestos!$E$4+Supuestos!$E$5)-(($A27+Supuestos!$E$9+Supuestos!$E$10)/(D$24*Supuestos!$E$7)+(Supuestos!$E$11+Supuestos!$E$12)/Supuestos!$E$3+Supuestos!$E$15)</f>
        <v>-0.017125</v>
      </c>
      <c r="E27" s="11" t="n">
        <f aca="false">(Supuestos!$E$4+Supuestos!$E$5)-(($A27+Supuestos!$E$9+Supuestos!$E$10)/(E$24*Supuestos!$E$7)+(Supuestos!$E$11+Supuestos!$E$12)/Supuestos!$E$3+Supuestos!$E$15)</f>
        <v>0.0142</v>
      </c>
      <c r="F27" s="11" t="n">
        <f aca="false">(Supuestos!$E$4+Supuestos!$E$5)-(($A27+Supuestos!$E$9+Supuestos!$E$10)/(F$24*Supuestos!$E$7)+(Supuestos!$E$11+Supuestos!$E$12)/Supuestos!$E$3+Supuestos!$E$15)</f>
        <v>0.0321</v>
      </c>
      <c r="G27" s="11" t="n">
        <f aca="false">(Supuestos!$E$4+Supuestos!$E$5)-(($A27+Supuestos!$E$9+Supuestos!$E$10)/(G$24*Supuestos!$E$7)+(Supuestos!$E$11+Supuestos!$E$12)/Supuestos!$E$3+Supuestos!$E$15)</f>
        <v>0.0375116279069767</v>
      </c>
    </row>
    <row r="28" customFormat="false" ht="15" hidden="false" customHeight="false" outlineLevel="0" collapsed="false">
      <c r="A28" s="8" t="n">
        <v>267</v>
      </c>
      <c r="B28" s="11" t="n">
        <f aca="false">(Supuestos!$E$4+Supuestos!$E$5)-(($A28+Supuestos!$E$9+Supuestos!$E$10)/(B$24*Supuestos!$E$7)+(Supuestos!$E$11+Supuestos!$E$12)/Supuestos!$E$3+Supuestos!$E$15)</f>
        <v>-0.407333333333333</v>
      </c>
      <c r="C28" s="11" t="n">
        <f aca="false">(Supuestos!$E$4+Supuestos!$E$5)-(($A28+Supuestos!$E$9+Supuestos!$E$10)/(C$24*Supuestos!$E$7)+(Supuestos!$E$11+Supuestos!$E$12)/Supuestos!$E$3+Supuestos!$E$15)</f>
        <v>-0.2244</v>
      </c>
      <c r="D28" s="11" t="n">
        <f aca="false">(Supuestos!$E$4+Supuestos!$E$5)-(($A28+Supuestos!$E$9+Supuestos!$E$10)/(D$24*Supuestos!$E$7)+(Supuestos!$E$11+Supuestos!$E$12)/Supuestos!$E$3+Supuestos!$E$15)</f>
        <v>-0.1215</v>
      </c>
      <c r="E28" s="11" t="n">
        <f aca="false">(Supuestos!$E$4+Supuestos!$E$5)-(($A28+Supuestos!$E$9+Supuestos!$E$10)/(E$24*Supuestos!$E$7)+(Supuestos!$E$11+Supuestos!$E$12)/Supuestos!$E$3+Supuestos!$E$15)</f>
        <v>-0.0414666666666667</v>
      </c>
      <c r="F28" s="11" t="n">
        <f aca="false">(Supuestos!$E$4+Supuestos!$E$5)-(($A28+Supuestos!$E$9+Supuestos!$E$10)/(F$24*Supuestos!$E$7)+(Supuestos!$E$11+Supuestos!$E$12)/Supuestos!$E$3+Supuestos!$E$15)</f>
        <v>0.00426666666666666</v>
      </c>
      <c r="G28" s="11" t="n">
        <f aca="false">(Supuestos!$E$4+Supuestos!$E$5)-(($A28+Supuestos!$E$9+Supuestos!$E$10)/(G$24*Supuestos!$E$7)+(Supuestos!$E$11+Supuestos!$E$12)/Supuestos!$E$3+Supuestos!$E$15)</f>
        <v>0.0180930232558139</v>
      </c>
    </row>
    <row r="29" customFormat="false" ht="15" hidden="false" customHeight="false" outlineLevel="0" collapsed="false">
      <c r="A29" s="8" t="n">
        <v>500</v>
      </c>
      <c r="B29" s="11" t="n">
        <f aca="false">(Supuestos!$E$4+Supuestos!$E$5)-(($A29+Supuestos!$E$9+Supuestos!$E$10)/(B$24*Supuestos!$E$7)+(Supuestos!$E$11+Supuestos!$E$12)/Supuestos!$E$3+Supuestos!$E$15)</f>
        <v>-0.795666666666667</v>
      </c>
      <c r="C29" s="11" t="n">
        <f aca="false">(Supuestos!$E$4+Supuestos!$E$5)-(($A29+Supuestos!$E$9+Supuestos!$E$10)/(C$24*Supuestos!$E$7)+(Supuestos!$E$11+Supuestos!$E$12)/Supuestos!$E$3+Supuestos!$E$15)</f>
        <v>-0.4574</v>
      </c>
      <c r="D29" s="11" t="n">
        <f aca="false">(Supuestos!$E$4+Supuestos!$E$5)-(($A29+Supuestos!$E$9+Supuestos!$E$10)/(D$24*Supuestos!$E$7)+(Supuestos!$E$11+Supuestos!$E$12)/Supuestos!$E$3+Supuestos!$E$15)</f>
        <v>-0.267125</v>
      </c>
      <c r="E29" s="11" t="n">
        <f aca="false">(Supuestos!$E$4+Supuestos!$E$5)-(($A29+Supuestos!$E$9+Supuestos!$E$10)/(E$24*Supuestos!$E$7)+(Supuestos!$E$11+Supuestos!$E$12)/Supuestos!$E$3+Supuestos!$E$15)</f>
        <v>-0.119133333333333</v>
      </c>
      <c r="F29" s="11" t="n">
        <f aca="false">(Supuestos!$E$4+Supuestos!$E$5)-(($A29+Supuestos!$E$9+Supuestos!$E$10)/(F$24*Supuestos!$E$7)+(Supuestos!$E$11+Supuestos!$E$12)/Supuestos!$E$3+Supuestos!$E$15)</f>
        <v>-0.0345666666666667</v>
      </c>
      <c r="G29" s="11" t="n">
        <f aca="false">(Supuestos!$E$4+Supuestos!$E$5)-(($A29+Supuestos!$E$9+Supuestos!$E$10)/(G$24*Supuestos!$E$7)+(Supuestos!$E$11+Supuestos!$E$12)/Supuestos!$E$3+Supuestos!$E$15)</f>
        <v>-0.00900000000000001</v>
      </c>
    </row>
    <row r="30" customFormat="false" ht="15" hidden="false" customHeight="false" outlineLevel="0" collapsed="false">
      <c r="A30" s="8" t="n">
        <v>1000</v>
      </c>
      <c r="B30" s="11" t="n">
        <f aca="false">(Supuestos!$E$4+Supuestos!$E$5)-(($A30+Supuestos!$E$9+Supuestos!$E$10)/(B$24*Supuestos!$E$7)+(Supuestos!$E$11+Supuestos!$E$12)/Supuestos!$E$3+Supuestos!$E$15)</f>
        <v>-1.629</v>
      </c>
      <c r="C30" s="11" t="n">
        <f aca="false">(Supuestos!$E$4+Supuestos!$E$5)-(($A30+Supuestos!$E$9+Supuestos!$E$10)/(C$24*Supuestos!$E$7)+(Supuestos!$E$11+Supuestos!$E$12)/Supuestos!$E$3+Supuestos!$E$15)</f>
        <v>-0.9574</v>
      </c>
      <c r="D30" s="11" t="n">
        <f aca="false">(Supuestos!$E$4+Supuestos!$E$5)-(($A30+Supuestos!$E$9+Supuestos!$E$10)/(D$24*Supuestos!$E$7)+(Supuestos!$E$11+Supuestos!$E$12)/Supuestos!$E$3+Supuestos!$E$15)</f>
        <v>-0.579625</v>
      </c>
      <c r="E30" s="11" t="n">
        <f aca="false">(Supuestos!$E$4+Supuestos!$E$5)-(($A30+Supuestos!$E$9+Supuestos!$E$10)/(E$24*Supuestos!$E$7)+(Supuestos!$E$11+Supuestos!$E$12)/Supuestos!$E$3+Supuestos!$E$15)</f>
        <v>-0.2858</v>
      </c>
      <c r="F30" s="11" t="n">
        <f aca="false">(Supuestos!$E$4+Supuestos!$E$5)-(($A30+Supuestos!$E$9+Supuestos!$E$10)/(F$24*Supuestos!$E$7)+(Supuestos!$E$11+Supuestos!$E$12)/Supuestos!$E$3+Supuestos!$E$15)</f>
        <v>-0.1179</v>
      </c>
      <c r="G30" s="11" t="n">
        <f aca="false">(Supuestos!$E$4+Supuestos!$E$5)-(($A30+Supuestos!$E$9+Supuestos!$E$10)/(G$24*Supuestos!$E$7)+(Supuestos!$E$11+Supuestos!$E$12)/Supuestos!$E$3+Supuestos!$E$15)</f>
        <v>-0.0671395348837209</v>
      </c>
    </row>
    <row r="33" customFormat="false" ht="15" hidden="false" customHeight="false" outlineLevel="0" collapsed="false">
      <c r="A33" s="10" t="s">
        <v>147</v>
      </c>
    </row>
    <row r="34" customFormat="false" ht="15" hidden="false" customHeight="false" outlineLevel="0" collapsed="false">
      <c r="A34" s="0" t="s">
        <v>148</v>
      </c>
      <c r="B34" s="15" t="n">
        <v>100000</v>
      </c>
      <c r="C34" s="15" t="n">
        <v>250000</v>
      </c>
      <c r="D34" s="15" t="n">
        <v>500000</v>
      </c>
      <c r="E34" s="15" t="n">
        <v>1000000</v>
      </c>
      <c r="F34" s="15" t="n">
        <v>2000000</v>
      </c>
    </row>
    <row r="35" customFormat="false" ht="15" hidden="false" customHeight="false" outlineLevel="0" collapsed="false">
      <c r="A35" s="0" t="n">
        <v>2</v>
      </c>
      <c r="B35" s="8" t="n">
        <f aca="false">$A35*(B$34*Supuestos!$E$17+Supuestos!$E$18-Supuestos!$E$11-Supuestos!$E$12-B$34*Supuestos!$E$15/2)-Supuestos!$E$20</f>
        <v>-151250</v>
      </c>
      <c r="C35" s="8" t="n">
        <f aca="false">$A35*(C$34*Supuestos!$E$17+Supuestos!$E$18-Supuestos!$E$11-Supuestos!$E$12-C$34*Supuestos!$E$15/2)-Supuestos!$E$20</f>
        <v>-144125</v>
      </c>
      <c r="D35" s="8" t="n">
        <f aca="false">$A35*(D$34*Supuestos!$E$17+Supuestos!$E$18-Supuestos!$E$11-Supuestos!$E$12-D$34*Supuestos!$E$15/2)-Supuestos!$E$20</f>
        <v>-132250</v>
      </c>
      <c r="E35" s="8" t="n">
        <f aca="false">$A35*(E$34*Supuestos!$E$17+Supuestos!$E$18-Supuestos!$E$11-Supuestos!$E$12-E$34*Supuestos!$E$15/2)-Supuestos!$E$20</f>
        <v>-108500</v>
      </c>
      <c r="F35" s="8" t="n">
        <f aca="false">$A35*(F$34*Supuestos!$E$17+Supuestos!$E$18-Supuestos!$E$11-Supuestos!$E$12-F$34*Supuestos!$E$15/2)-Supuestos!$E$20</f>
        <v>-61000</v>
      </c>
    </row>
    <row r="36" customFormat="false" ht="15" hidden="false" customHeight="false" outlineLevel="0" collapsed="false">
      <c r="A36" s="0" t="n">
        <v>4</v>
      </c>
      <c r="B36" s="8" t="n">
        <f aca="false">$A36*(B$34*Supuestos!$E$17+Supuestos!$E$18-Supuestos!$E$11-Supuestos!$E$12-B$34*Supuestos!$E$15/2)-Supuestos!$E$20</f>
        <v>-152500</v>
      </c>
      <c r="C36" s="8" t="n">
        <f aca="false">$A36*(C$34*Supuestos!$E$17+Supuestos!$E$18-Supuestos!$E$11-Supuestos!$E$12-C$34*Supuestos!$E$15/2)-Supuestos!$E$20</f>
        <v>-138250</v>
      </c>
      <c r="D36" s="8" t="n">
        <f aca="false">$A36*(D$34*Supuestos!$E$17+Supuestos!$E$18-Supuestos!$E$11-Supuestos!$E$12-D$34*Supuestos!$E$15/2)-Supuestos!$E$20</f>
        <v>-114500</v>
      </c>
      <c r="E36" s="8" t="n">
        <f aca="false">$A36*(E$34*Supuestos!$E$17+Supuestos!$E$18-Supuestos!$E$11-Supuestos!$E$12-E$34*Supuestos!$E$15/2)-Supuestos!$E$20</f>
        <v>-67000</v>
      </c>
      <c r="F36" s="8" t="n">
        <f aca="false">$A36*(F$34*Supuestos!$E$17+Supuestos!$E$18-Supuestos!$E$11-Supuestos!$E$12-F$34*Supuestos!$E$15/2)-Supuestos!$E$20</f>
        <v>28000</v>
      </c>
    </row>
    <row r="37" customFormat="false" ht="15" hidden="false" customHeight="false" outlineLevel="0" collapsed="false">
      <c r="A37" s="0" t="n">
        <v>8</v>
      </c>
      <c r="B37" s="8" t="n">
        <f aca="false">$A37*(B$34*Supuestos!$E$17+Supuestos!$E$18-Supuestos!$E$11-Supuestos!$E$12-B$34*Supuestos!$E$15/2)-Supuestos!$E$20</f>
        <v>-155000</v>
      </c>
      <c r="C37" s="8" t="n">
        <f aca="false">$A37*(C$34*Supuestos!$E$17+Supuestos!$E$18-Supuestos!$E$11-Supuestos!$E$12-C$34*Supuestos!$E$15/2)-Supuestos!$E$20</f>
        <v>-126500</v>
      </c>
      <c r="D37" s="8" t="n">
        <f aca="false">$A37*(D$34*Supuestos!$E$17+Supuestos!$E$18-Supuestos!$E$11-Supuestos!$E$12-D$34*Supuestos!$E$15/2)-Supuestos!$E$20</f>
        <v>-79000</v>
      </c>
      <c r="E37" s="8" t="n">
        <f aca="false">$A37*(E$34*Supuestos!$E$17+Supuestos!$E$18-Supuestos!$E$11-Supuestos!$E$12-E$34*Supuestos!$E$15/2)-Supuestos!$E$20</f>
        <v>16000</v>
      </c>
      <c r="F37" s="8" t="n">
        <f aca="false">$A37*(F$34*Supuestos!$E$17+Supuestos!$E$18-Supuestos!$E$11-Supuestos!$E$12-F$34*Supuestos!$E$15/2)-Supuestos!$E$20</f>
        <v>206000</v>
      </c>
    </row>
    <row r="38" customFormat="false" ht="15" hidden="false" customHeight="false" outlineLevel="0" collapsed="false">
      <c r="A38" s="0" t="n">
        <v>12</v>
      </c>
      <c r="B38" s="8" t="n">
        <f aca="false">$A38*(B$34*Supuestos!$E$17+Supuestos!$E$18-Supuestos!$E$11-Supuestos!$E$12-B$34*Supuestos!$E$15/2)-Supuestos!$E$20</f>
        <v>-157500</v>
      </c>
      <c r="C38" s="8" t="n">
        <f aca="false">$A38*(C$34*Supuestos!$E$17+Supuestos!$E$18-Supuestos!$E$11-Supuestos!$E$12-C$34*Supuestos!$E$15/2)-Supuestos!$E$20</f>
        <v>-114750</v>
      </c>
      <c r="D38" s="8" t="n">
        <f aca="false">$A38*(D$34*Supuestos!$E$17+Supuestos!$E$18-Supuestos!$E$11-Supuestos!$E$12-D$34*Supuestos!$E$15/2)-Supuestos!$E$20</f>
        <v>-43500</v>
      </c>
      <c r="E38" s="8" t="n">
        <f aca="false">$A38*(E$34*Supuestos!$E$17+Supuestos!$E$18-Supuestos!$E$11-Supuestos!$E$12-E$34*Supuestos!$E$15/2)-Supuestos!$E$20</f>
        <v>99000</v>
      </c>
      <c r="F38" s="8" t="n">
        <f aca="false">$A38*(F$34*Supuestos!$E$17+Supuestos!$E$18-Supuestos!$E$11-Supuestos!$E$12-F$34*Supuestos!$E$15/2)-Supuestos!$E$20</f>
        <v>384000</v>
      </c>
    </row>
    <row r="39" customFormat="false" ht="15" hidden="false" customHeight="false" outlineLevel="0" collapsed="false">
      <c r="A39" s="0" t="n">
        <v>20</v>
      </c>
      <c r="B39" s="8" t="n">
        <f aca="false">$A39*(B$34*Supuestos!$E$17+Supuestos!$E$18-Supuestos!$E$11-Supuestos!$E$12-B$34*Supuestos!$E$15/2)-Supuestos!$E$20</f>
        <v>-162500</v>
      </c>
      <c r="C39" s="8" t="n">
        <f aca="false">$A39*(C$34*Supuestos!$E$17+Supuestos!$E$18-Supuestos!$E$11-Supuestos!$E$12-C$34*Supuestos!$E$15/2)-Supuestos!$E$20</f>
        <v>-91250</v>
      </c>
      <c r="D39" s="8" t="n">
        <f aca="false">$A39*(D$34*Supuestos!$E$17+Supuestos!$E$18-Supuestos!$E$11-Supuestos!$E$12-D$34*Supuestos!$E$15/2)-Supuestos!$E$20</f>
        <v>27500</v>
      </c>
      <c r="E39" s="8" t="n">
        <f aca="false">$A39*(E$34*Supuestos!$E$17+Supuestos!$E$18-Supuestos!$E$11-Supuestos!$E$12-E$34*Supuestos!$E$15/2)-Supuestos!$E$20</f>
        <v>265000</v>
      </c>
      <c r="F39" s="8" t="n">
        <f aca="false">$A39*(F$34*Supuestos!$E$17+Supuestos!$E$18-Supuestos!$E$11-Supuestos!$E$12-F$34*Supuestos!$E$15/2)-Supuestos!$E$20</f>
        <v>740000</v>
      </c>
    </row>
    <row r="40" customFormat="false" ht="15" hidden="false" customHeight="false" outlineLevel="0" collapsed="false">
      <c r="A40" s="0" t="n">
        <v>30</v>
      </c>
      <c r="B40" s="8" t="n">
        <f aca="false">$A40*(B$34*Supuestos!$E$17+Supuestos!$E$18-Supuestos!$E$11-Supuestos!$E$12-B$34*Supuestos!$E$15/2)-Supuestos!$E$20</f>
        <v>-168750</v>
      </c>
      <c r="C40" s="8" t="n">
        <f aca="false">$A40*(C$34*Supuestos!$E$17+Supuestos!$E$18-Supuestos!$E$11-Supuestos!$E$12-C$34*Supuestos!$E$15/2)-Supuestos!$E$20</f>
        <v>-61875</v>
      </c>
      <c r="D40" s="8" t="n">
        <f aca="false">$A40*(D$34*Supuestos!$E$17+Supuestos!$E$18-Supuestos!$E$11-Supuestos!$E$12-D$34*Supuestos!$E$15/2)-Supuestos!$E$20</f>
        <v>116250</v>
      </c>
      <c r="E40" s="8" t="n">
        <f aca="false">$A40*(E$34*Supuestos!$E$17+Supuestos!$E$18-Supuestos!$E$11-Supuestos!$E$12-E$34*Supuestos!$E$15/2)-Supuestos!$E$20</f>
        <v>472500</v>
      </c>
      <c r="F40" s="8" t="n">
        <f aca="false">$A40*(F$34*Supuestos!$E$17+Supuestos!$E$18-Supuestos!$E$11-Supuestos!$E$12-F$34*Supuestos!$E$15/2)-Supuestos!$E$20</f>
        <v>1185000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2026-10-19T08:02:44Z</dcterms:created>
  <dc:creator>openpyxl</dc:creator>
  <dc:description/>
  <dc:language>en-US</dc:language>
  <cp:lastModifiedBy/>
  <dcterms:modified xsi:type="dcterms:W3CDTF">2026-10-19T08:02:44Z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